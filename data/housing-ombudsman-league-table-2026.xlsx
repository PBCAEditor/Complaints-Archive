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6f83e3dc0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gue Table" sheetId="1" r:id="Rbf079040eeee4173"/>
    <x:sheet xmlns:r="http://schemas.openxmlformats.org/officeDocument/2006/relationships" name="All Providers" sheetId="2" r:id="R74d290461ada4ab5"/>
    <x:sheet xmlns:r="http://schemas.openxmlformats.org/officeDocument/2006/relationships" name="Methodology" sheetId="3" r:id="Re08563931f02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DCE7F0"/>
      <x:name val="Carlito"/>
    </x:font>
    <x:font>
      <x:b/>
      <x:sz val="9"/>
      <x:color rgb="FF17324D"/>
      <x:name val="Carlito"/>
    </x:font>
    <x:font>
      <x:b/>
      <x:sz val="17"/>
      <x:color rgb="FF17324D"/>
      <x:name val="Carlito"/>
    </x:font>
    <x:font>
      <x:sz val="8"/>
      <x:color rgb="FF556575"/>
      <x:name val="Carlito"/>
    </x:font>
    <x:font>
      <x:b/>
      <x:sz val="17"/>
      <x:color rgb="FF0F7C75"/>
      <x:name val="Carlito"/>
    </x:font>
    <x:font>
      <x:b/>
      <x:sz val="10"/>
      <x:color rgb="FFFFFFFF"/>
      <x:name val="Carlito"/>
    </x:font>
    <x:font>
      <x:sz val="10"/>
      <x:color rgb="FF17212B"/>
      <x:name val="Carlito"/>
    </x:font>
    <x:font>
      <x:b/>
      <x:sz val="10"/>
      <x:color rgb="FF17212B"/>
      <x:name val="Carlito"/>
    </x:font>
    <x:font>
      <x:b/>
      <x:sz val="11"/>
      <x:color rgb="FF17324D"/>
      <x:name val="Carlito"/>
    </x:font>
    <x:font>
      <x:sz val="9"/>
      <x:color rgb="FF1F5A7A"/>
      <x:name val="Carlito"/>
    </x:font>
    <x:font>
      <x:b/>
      <x:sz val="10"/>
      <x:color rgb="FF17324D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FFF"/>
      </x:patternFill>
    </x:fill>
    <x:fill>
      <x:patternFill patternType="solid">
        <x:fgColor rgb="FF1F5A7A"/>
      </x:patternFill>
    </x:fill>
    <x:fill>
      <x:patternFill patternType="solid">
        <x:fgColor rgb="FFFCE8E6"/>
      </x:patternFill>
    </x:fill>
    <x:fill>
      <x:patternFill patternType="solid">
        <x:fgColor rgb="FFE7F4F2"/>
      </x:patternFill>
    </x:fill>
    <x:fill>
      <x:patternFill patternType="solid">
        <x:fgColor rgb="FFF3F5F7"/>
      </x:patternFill>
    </x:fill>
    <x:fill>
      <x:patternFill patternType="solid">
        <x:fgColor rgb="FFFFF3D6"/>
      </x:patternFill>
    </x:fill>
  </x:fills>
  <x:borders count="6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6C86E"/>
      </x:left>
      <x:top style="thin">
        <x:color rgb="FFE6C86E"/>
      </x:top>
      <x:bottom style="thin">
        <x:color rgb="FFE6C86E"/>
      </x:bottom>
    </x:border>
    <x:border>
      <x:top style="thin">
        <x:color rgb="FFE6C86E"/>
      </x:top>
      <x:bottom style="thin">
        <x:color rgb="FFE6C86E"/>
      </x:bottom>
    </x:border>
    <x:border>
      <x:right style="thin">
        <x:color rgb="FFE6C86E"/>
      </x:right>
      <x:top style="thin">
        <x:color rgb="FFE6C86E"/>
      </x:top>
      <x:bottom style="thin">
        <x:color rgb="FFE6C86E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horizontal="center" vertical="top"/>
    </x:xf>
    <x:xf numFmtId="0" fontId="8" fillId="0" borderId="1" xfId="0" applyNumberFormat="1" applyFont="1" applyFill="1" applyBorder="1" applyAlignment="1">
      <x:alignment horizontal="right" vertical="top"/>
    </x:xf>
    <x:xf numFmtId="201" fontId="8" fillId="0" borderId="1" xfId="0" applyNumberFormat="1" applyFont="1" applyFill="1" applyBorder="1" applyAlignment="1">
      <x:alignment horizontal="right" vertical="top"/>
    </x:xf>
    <x:xf numFmtId="200" fontId="8" fillId="0" borderId="1" xfId="0" applyNumberFormat="1" applyFont="1" applyFill="1" applyBorder="1" applyAlignment="1">
      <x:alignment horizontal="right" vertical="top"/>
    </x:xf>
    <x:xf numFmtId="0" fontId="9" fillId="0" borderId="1" xfId="0" applyNumberFormat="1" applyFont="1" applyFill="1" applyBorder="1" applyAlignment="1">
      <x:alignment vertical="top"/>
    </x:xf>
    <x:xf numFmtId="0" fontId="8" fillId="6" borderId="1" xfId="0" applyNumberFormat="1" applyFont="1" applyFill="1" applyBorder="1" applyAlignment="1">
      <x:alignment horizontal="center" vertical="top"/>
    </x:xf>
    <x:xf numFmtId="0" fontId="9" fillId="6" borderId="1" xfId="0" applyNumberFormat="1" applyFont="1" applyFill="1" applyBorder="1" applyAlignment="1">
      <x:alignment vertical="top"/>
    </x:xf>
    <x:xf numFmtId="0" fontId="8" fillId="6" borderId="1" xfId="0" applyNumberFormat="1" applyFont="1" applyFill="1" applyBorder="1" applyAlignment="1">
      <x:alignment horizontal="right" vertical="top"/>
    </x:xf>
    <x:xf numFmtId="201" fontId="8" fillId="6" borderId="1" xfId="0" applyNumberFormat="1" applyFont="1" applyFill="1" applyBorder="1" applyAlignment="1">
      <x:alignment horizontal="right" vertical="top"/>
    </x:xf>
    <x:xf numFmtId="200" fontId="8" fillId="6" borderId="1" xfId="0" applyNumberFormat="1" applyFont="1" applyFill="1" applyBorder="1" applyAlignment="1">
      <x:alignment horizontal="right" vertical="top"/>
    </x:xf>
    <x:xf numFmtId="0" fontId="8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 applyAlignment="1">
      <x:alignment horizontal="center" vertical="top"/>
    </x:xf>
    <x:xf numFmtId="0" fontId="9" fillId="7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 applyAlignment="1">
      <x:alignment horizontal="right" vertical="top"/>
    </x:xf>
    <x:xf numFmtId="201" fontId="8" fillId="7" borderId="1" xfId="0" applyNumberFormat="1" applyFont="1" applyFill="1" applyBorder="1" applyAlignment="1">
      <x:alignment horizontal="right" vertical="top"/>
    </x:xf>
    <x:xf numFmtId="200" fontId="8" fillId="7" borderId="1" xfId="0" applyNumberFormat="1" applyFont="1" applyFill="1" applyBorder="1" applyAlignment="1">
      <x:alignment horizontal="right" vertical="top"/>
    </x:xf>
    <x:xf numFmtId="0" fontId="8" fillId="7" borderId="1" xfId="0" applyNumberFormat="1" applyFont="1" applyFill="1" applyBorder="1" applyAlignment="1">
      <x:alignment vertical="top"/>
    </x:xf>
    <x:xf numFmtId="0" fontId="9" fillId="7" borderId="1" xfId="0" applyNumberFormat="1" applyFont="1" applyFill="1" applyBorder="1" applyAlignment="1">
      <x:alignment horizontal="center" vertical="top"/>
    </x:xf>
    <x:xf numFmtId="0" fontId="9" fillId="7" borderId="1" xfId="0" applyNumberFormat="1" applyFont="1" applyFill="1" applyBorder="1" applyAlignment="1">
      <x:alignment horizontal="right" vertical="top"/>
    </x:xf>
    <x:xf numFmtId="201" fontId="9" fillId="7" borderId="1" xfId="0" applyNumberFormat="1" applyFont="1" applyFill="1" applyBorder="1" applyAlignment="1">
      <x:alignment horizontal="right" vertical="top"/>
    </x:xf>
    <x:xf numFmtId="200" fontId="9" fillId="7" borderId="1" xfId="0" applyNumberFormat="1" applyFont="1" applyFill="1" applyBorder="1" applyAlignment="1">
      <x:alignment horizontal="right" vertical="top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3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3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3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/>
    </x:xf>
    <x:xf numFmtId="0" fontId="12" fillId="8" borderId="1" xfId="0" applyNumberFormat="1" applyFont="1" applyFill="1" applyBorder="1" applyAlignment="1">
      <x:alignment vertical="top"/>
    </x:xf>
    <x:xf numFmtId="0" fontId="12" fillId="8" borderId="1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15d96603543f8" /><Relationship Type="http://schemas.openxmlformats.org/officeDocument/2006/relationships/theme" Target="/xl/theme/theme1.xml" Id="R7ed1ebc5e2ee4cdb" /><Relationship Type="http://schemas.openxmlformats.org/officeDocument/2006/relationships/sharedStrings" Target="/xl/sharedStrings.xml" Id="R8d07c410a9864b0b" /><Relationship Type="http://schemas.openxmlformats.org/officeDocument/2006/relationships/worksheet" Target="/xl/worksheets/sheet1.xml" Id="Rbf079040eeee4173" /><Relationship Type="http://schemas.openxmlformats.org/officeDocument/2006/relationships/worksheet" Target="/xl/worksheets/sheet2.xml" Id="R74d290461ada4ab5" /><Relationship Type="http://schemas.openxmlformats.org/officeDocument/2006/relationships/worksheet" Target="/xl/worksheets/sheet3.xml" Id="Re08563931f0243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5" hidden="0" customWidth="1"/>
    <x:col min="4" max="4" width="16" hidden="0" customWidth="1"/>
    <x:col min="5" max="5" width="16" hidden="0" customWidth="1"/>
    <x:col min="6" max="6" width="14" hidden="0" customWidth="1"/>
    <x:col min="7" max="7" width="29" hidden="0" customWidth="1"/>
    <x:col min="8" max="8" width="43" hidden="0" customWidth="1"/>
  </x:cols>
  <x:sheetData>
    <x:row r="1" ht="31" customHeight="1">
      <x:c r="A1" s="4" t="str">
        <x:v>Housing Ombudsman determinations, size-adjusted league table</x:v>
      </x:c>
      <x:c r="B1" s="4"/>
      <x:c r="C1" s="4"/>
      <x:c r="D1" s="4"/>
      <x:c r="E1" s="4"/>
      <x:c r="F1" s="4"/>
      <x:c r="G1" s="4"/>
      <x:c r="H1" s="4"/>
    </x:row>
    <x:row r="2" ht="27" customHeight="1">
      <x:c r="A2" s="7" t="str">
        <x:v>Housing association decisions published 1 January to 4 September 2026 | Rate per 10,000 homes | Headline table requires at least 5 determinations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2" t="str">
        <x:v>Published determinations</x:v>
      </x:c>
      <x:c r="B4" s="12" t="str">
        <x:v>Provider labels</x:v>
      </x:c>
      <x:c r="C4" s="12" t="str">
        <x:v>Headline providers</x:v>
      </x:c>
      <x:c r="D4" s="12" t="str">
        <x:v>Peabody: raw rank</x:v>
      </x:c>
      <x:c r="E4" s="12" t="str">
        <x:v>Peabody: adjusted rank</x:v>
      </x:c>
      <x:c r="F4" s="12" t="str">
        <x:v>Peabody: rate / 10,000</x:v>
      </x:c>
    </x:row>
    <x:row r="5">
      <x:c r="A5" s="16" t="n">
        <x:v>1186</x:v>
      </x:c>
      <x:c r="B5" s="16" t="n">
        <x:v>151</x:v>
      </x:c>
      <x:c r="C5" s="16" t="n">
        <x:v>45</x:v>
      </x:c>
      <x:c r="D5" s="16" t="n">
        <x:v>4</x:v>
      </x:c>
      <x:c r="E5" s="23" t="n">
        <x:v>15</x:v>
      </x:c>
      <x:c r="F5" s="24" t="n">
        <x:v>6.6711882498137625</x:v>
      </x:c>
    </x:row>
    <x:row r="6" ht="29" customHeight="1">
      <x:c r="A6" s="20" t="str">
        <x:v>Archive entries in scope</x:v>
      </x:c>
      <x:c r="B6" s="20" t="str">
        <x:v>As published in the archive</x:v>
      </x:c>
      <x:c r="C6" s="20" t="str">
        <x:v>At least 5 determinations</x:v>
      </x:c>
      <x:c r="D6" s="20" t="str">
        <x:v>By unadjusted count</x:v>
      </x:c>
      <x:c r="E6" s="20" t="str">
        <x:v>Among headline providers</x:v>
      </x:c>
      <x:c r="F6" s="20" t="str">
        <x:v>60 determinations / 89,939 homes</x:v>
      </x:c>
    </x:row>
    <x:row r="8" ht="30" customHeight="1">
      <x:c r="A8" s="29" t="str">
        <x:v>Adjusted rank</x:v>
      </x:c>
      <x:c r="B8" s="29" t="str">
        <x:v>Provider</x:v>
      </x:c>
      <x:c r="C8" s="29" t="str">
        <x:v>Determinations</x:v>
      </x:c>
      <x:c r="D8" s="29" t="str">
        <x:v>Landlord homes</x:v>
      </x:c>
      <x:c r="E8" s="29" t="str">
        <x:v>Rate per 10,000</x:v>
      </x:c>
      <x:c r="F8" s="29" t="str">
        <x:v>Raw-count rank</x:v>
      </x:c>
      <x:c r="G8" s="29" t="str">
        <x:v>Denominator</x:v>
      </x:c>
      <x:c r="H8" s="29" t="str">
        <x:v>Caution / matching note</x:v>
      </x:c>
    </x:row>
    <x:row r="9" ht="28" customHeight="1">
      <x:c r="A9" s="38" t="n">
        <x:v>1</x:v>
      </x:c>
      <x:c r="B9" s="39" t="str">
        <x:v>Octavia Housing</x:v>
      </x:c>
      <x:c r="C9" s="40" t="n">
        <x:v>9</x:v>
      </x:c>
      <x:c r="D9" s="41" t="n">
        <x:v>5437</x:v>
      </x:c>
      <x:c r="E9" s="42" t="n">
        <x:f>C9/D9*10000</x:f>
        <x:v>16.553246275519587</x:v>
      </x:c>
      <x:c r="F9" s="40" t="n">
        <x:v>26</x:v>
      </x:c>
      <x:c r="G9" s="43" t="str">
        <x:v>Housing Ombudsman landlord report</x:v>
      </x:c>
      <x:c r="H9" s="43" t="str"/>
    </x:row>
    <x:row r="10" ht="28" customHeight="1">
      <x:c r="A10" s="38" t="n">
        <x:v>2</x:v>
      </x:c>
      <x:c r="B10" s="39" t="str">
        <x:v>Hexagon Housing Association Limited</x:v>
      </x:c>
      <x:c r="C10" s="40" t="n">
        <x:v>7</x:v>
      </x:c>
      <x:c r="D10" s="41" t="n">
        <x:v>4409</x:v>
      </x:c>
      <x:c r="E10" s="42" t="n">
        <x:f>C10/D10*10000</x:f>
        <x:v>15.876616012701295</x:v>
      </x:c>
      <x:c r="F10" s="40" t="n">
        <x:v>30</x:v>
      </x:c>
      <x:c r="G10" s="43" t="str">
        <x:v>Housing Ombudsman landlord report</x:v>
      </x:c>
      <x:c r="H10" s="43" t="str"/>
    </x:row>
    <x:row r="11" ht="28" customHeight="1">
      <x:c r="A11" s="38" t="n">
        <x:v>3</x:v>
      </x:c>
      <x:c r="B11" s="39" t="str">
        <x:v>Notting Hill Genesis</x:v>
      </x:c>
      <x:c r="C11" s="40" t="n">
        <x:v>78</x:v>
      </x:c>
      <x:c r="D11" s="41" t="n">
        <x:v>63584</x:v>
      </x:c>
      <x:c r="E11" s="42" t="n">
        <x:f>C11/D11*10000</x:f>
        <x:v>12.267237040764973</x:v>
      </x:c>
      <x:c r="F11" s="40" t="n">
        <x:v>3</x:v>
      </x:c>
      <x:c r="G11" s="43" t="str">
        <x:v>Housing Ombudsman landlord report</x:v>
      </x:c>
      <x:c r="H11" s="43" t="str"/>
    </x:row>
    <x:row r="12" ht="28" customHeight="1">
      <x:c r="A12" s="38" t="n">
        <x:v>4</x:v>
      </x:c>
      <x:c r="B12" s="39" t="str">
        <x:v>London &amp; Quadrant Housing Trust</x:v>
      </x:c>
      <x:c r="C12" s="40" t="n">
        <x:v>121</x:v>
      </x:c>
      <x:c r="D12" s="41" t="n">
        <x:v>102972</x:v>
      </x:c>
      <x:c r="E12" s="42" t="n">
        <x:f>C12/D12*10000</x:f>
        <x:v>11.750767198850172</x:v>
      </x:c>
      <x:c r="F12" s="40" t="n">
        <x:v>1</x:v>
      </x:c>
      <x:c r="G12" s="43" t="str">
        <x:v>Housing Ombudsman landlord report</x:v>
      </x:c>
      <x:c r="H12" s="43" t="str"/>
    </x:row>
    <x:row r="13" ht="28" customHeight="1">
      <x:c r="A13" s="38" t="n">
        <x:v>5</x:v>
      </x:c>
      <x:c r="B13" s="39" t="str">
        <x:v>Newlon Housing Trust</x:v>
      </x:c>
      <x:c r="C13" s="40" t="n">
        <x:v>9</x:v>
      </x:c>
      <x:c r="D13" s="41" t="n">
        <x:v>7996</x:v>
      </x:c>
      <x:c r="E13" s="42" t="n">
        <x:f>C13/D13*10000</x:f>
        <x:v>11.255627813906953</x:v>
      </x:c>
      <x:c r="F13" s="40" t="n">
        <x:v>26</x:v>
      </x:c>
      <x:c r="G13" s="43" t="str">
        <x:v>Housing Ombudsman landlord report</x:v>
      </x:c>
      <x:c r="H13" s="43" t="str"/>
    </x:row>
    <x:row r="14" ht="28" customHeight="1">
      <x:c r="A14" s="33" t="n">
        <x:v>6</x:v>
      </x:c>
      <x:c r="B14" s="37" t="str">
        <x:v>Hyde Housing Association Limited</x:v>
      </x:c>
      <x:c r="C14" s="34" t="n">
        <x:v>39</x:v>
      </x:c>
      <x:c r="D14" s="35" t="n">
        <x:v>40734</x:v>
      </x:c>
      <x:c r="E14" s="36" t="n">
        <x:f>C14/D14*10000</x:f>
        <x:v>9.574311386065695</x:v>
      </x:c>
      <x:c r="F14" s="34" t="n">
        <x:v>8</x:v>
      </x:c>
      <x:c r="G14" s="32" t="str">
        <x:v>Housing Ombudsman landlord report</x:v>
      </x:c>
      <x:c r="H14" s="32" t="str"/>
    </x:row>
    <x:row r="15" ht="28" customHeight="1">
      <x:c r="A15" s="33" t="n">
        <x:v>7</x:v>
      </x:c>
      <x:c r="B15" s="37" t="str">
        <x:v>A2Dominion Housing Group Limited</x:v>
      </x:c>
      <x:c r="C15" s="34" t="n">
        <x:v>31</x:v>
      </x:c>
      <x:c r="D15" s="35" t="n">
        <x:v>34473</x:v>
      </x:c>
      <x:c r="E15" s="36" t="n">
        <x:f>C15/D15*10000</x:f>
        <x:v>8.992544890203929</x:v>
      </x:c>
      <x:c r="F15" s="34" t="n">
        <x:v>11</x:v>
      </x:c>
      <x:c r="G15" s="32" t="str">
        <x:v>Housing Ombudsman landlord report</x:v>
      </x:c>
      <x:c r="H15" s="32" t="str"/>
    </x:row>
    <x:row r="16" ht="28" customHeight="1">
      <x:c r="A16" s="33" t="n">
        <x:v>8</x:v>
      </x:c>
      <x:c r="B16" s="37" t="str">
        <x:v>Origin Housing Limited</x:v>
      </x:c>
      <x:c r="C16" s="34" t="n">
        <x:v>6</x:v>
      </x:c>
      <x:c r="D16" s="35" t="n">
        <x:v>7150</x:v>
      </x:c>
      <x:c r="E16" s="36" t="n">
        <x:f>C16/D16*10000</x:f>
        <x:v>8.391608391608392</x:v>
      </x:c>
      <x:c r="F16" s="34" t="n">
        <x:v>37</x:v>
      </x:c>
      <x:c r="G16" s="32" t="str">
        <x:v>Housing Ombudsman landlord report</x:v>
      </x:c>
      <x:c r="H16" s="32" t="str"/>
    </x:row>
    <x:row r="17" ht="28" customHeight="1">
      <x:c r="A17" s="33" t="n">
        <x:v>9</x:v>
      </x:c>
      <x:c r="B17" s="37" t="str">
        <x:v>GreenSquareAccord Limited</x:v>
      </x:c>
      <x:c r="C17" s="34" t="n">
        <x:v>20</x:v>
      </x:c>
      <x:c r="D17" s="35" t="n">
        <x:v>26115</x:v>
      </x:c>
      <x:c r="E17" s="36" t="n">
        <x:f>C17/D17*10000</x:f>
        <x:v>7.658433850277619</x:v>
      </x:c>
      <x:c r="F17" s="34" t="n">
        <x:v>15</x:v>
      </x:c>
      <x:c r="G17" s="32" t="str">
        <x:v>Housing Ombudsman landlord report</x:v>
      </x:c>
      <x:c r="H17" s="32" t="str"/>
    </x:row>
    <x:row r="18" ht="28" customHeight="1">
      <x:c r="A18" s="33" t="n">
        <x:v>10</x:v>
      </x:c>
      <x:c r="B18" s="37" t="str">
        <x:v>Richmond Housing Partnership Limited</x:v>
      </x:c>
      <x:c r="C18" s="34" t="n">
        <x:v>7</x:v>
      </x:c>
      <x:c r="D18" s="35" t="n">
        <x:v>9326</x:v>
      </x:c>
      <x:c r="E18" s="36" t="n">
        <x:f>C18/D18*10000</x:f>
        <x:v>7.505897490885696</x:v>
      </x:c>
      <x:c r="F18" s="34" t="n">
        <x:v>30</x:v>
      </x:c>
      <x:c r="G18" s="32" t="str">
        <x:v>Housing Ombudsman landlord report</x:v>
      </x:c>
      <x:c r="H18" s="32" t="str"/>
    </x:row>
    <x:row r="19" ht="28" customHeight="1">
      <x:c r="A19" s="33" t="n">
        <x:v>11</x:v>
      </x:c>
      <x:c r="B19" s="37" t="str">
        <x:v>Metropolitan Thames Valley Housing (MTV)</x:v>
      </x:c>
      <x:c r="C19" s="34" t="n">
        <x:v>38</x:v>
      </x:c>
      <x:c r="D19" s="35" t="n">
        <x:v>51109</x:v>
      </x:c>
      <x:c r="E19" s="36" t="n">
        <x:f>C19/D19*10000</x:f>
        <x:v>7.435089710227161</x:v>
      </x:c>
      <x:c r="F19" s="34" t="n">
        <x:v>9</x:v>
      </x:c>
      <x:c r="G19" s="32" t="str">
        <x:v>Housing Ombudsman landlord report</x:v>
      </x:c>
      <x:c r="H19" s="32" t="str"/>
    </x:row>
    <x:row r="20" ht="28" customHeight="1">
      <x:c r="A20" s="33" t="n">
        <x:v>12</x:v>
      </x:c>
      <x:c r="B20" s="37" t="str">
        <x:v>Southern Housing</x:v>
      </x:c>
      <x:c r="C20" s="34" t="n">
        <x:v>52</x:v>
      </x:c>
      <x:c r="D20" s="35" t="n">
        <x:v>76224</x:v>
      </x:c>
      <x:c r="E20" s="36" t="n">
        <x:f>C20/D20*10000</x:f>
        <x:v>6.821998320738875</x:v>
      </x:c>
      <x:c r="F20" s="34" t="n">
        <x:v>5</x:v>
      </x:c>
      <x:c r="G20" s="32" t="str">
        <x:v>Housing Ombudsman landlord report</x:v>
      </x:c>
      <x:c r="H20" s="32" t="str"/>
    </x:row>
    <x:row r="21" ht="28" customHeight="1">
      <x:c r="A21" s="33" t="n">
        <x:v>13</x:v>
      </x:c>
      <x:c r="B21" s="37" t="str">
        <x:v>Poplar Housing And Regeneration Community Association Limited</x:v>
      </x:c>
      <x:c r="C21" s="34" t="n">
        <x:v>7</x:v>
      </x:c>
      <x:c r="D21" s="35" t="n">
        <x:v>10272</x:v>
      </x:c>
      <x:c r="E21" s="36" t="n">
        <x:f>C21/D21*10000</x:f>
        <x:v>6.814641744548286</x:v>
      </x:c>
      <x:c r="F21" s="34" t="n">
        <x:v>30</x:v>
      </x:c>
      <x:c r="G21" s="32" t="str">
        <x:v>Housing Ombudsman landlord report</x:v>
      </x:c>
      <x:c r="H21" s="32" t="str"/>
    </x:row>
    <x:row r="22" ht="28" customHeight="1">
      <x:c r="A22" s="33" t="n">
        <x:v>14</x:v>
      </x:c>
      <x:c r="B22" s="37" t="str">
        <x:v>Clarion Housing Association Limited</x:v>
      </x:c>
      <x:c r="C22" s="34" t="n">
        <x:v>81</x:v>
      </x:c>
      <x:c r="D22" s="35" t="n">
        <x:v>120288</x:v>
      </x:c>
      <x:c r="E22" s="36" t="n">
        <x:f>C22/D22*10000</x:f>
        <x:v>6.733838786911413</x:v>
      </x:c>
      <x:c r="F22" s="34" t="n">
        <x:v>2</x:v>
      </x:c>
      <x:c r="G22" s="32" t="str">
        <x:v>Housing Ombudsman landlord report</x:v>
      </x:c>
      <x:c r="H22" s="32" t="str"/>
    </x:row>
    <x:row r="23" ht="28" customHeight="1">
      <x:c r="A23" s="50" t="n">
        <x:v>15</x:v>
      </x:c>
      <x:c r="B23" s="45" t="str">
        <x:v>Peabody Trust</x:v>
      </x:c>
      <x:c r="C23" s="51" t="n">
        <x:v>60</x:v>
      </x:c>
      <x:c r="D23" s="52" t="n">
        <x:v>89939</x:v>
      </x:c>
      <x:c r="E23" s="53" t="n">
        <x:f>C23/D23*10000</x:f>
        <x:v>6.6711882498137625</x:v>
      </x:c>
      <x:c r="F23" s="51" t="n">
        <x:v>4</x:v>
      </x:c>
      <x:c r="G23" s="45" t="str">
        <x:v>Housing Ombudsman landlord report</x:v>
      </x:c>
      <x:c r="H23" s="45" t="str"/>
    </x:row>
    <x:row r="24" ht="28" customHeight="1">
      <x:c r="A24" s="33" t="n">
        <x:v>16</x:v>
      </x:c>
      <x:c r="B24" s="37" t="str">
        <x:v>Stonewater Limited</x:v>
      </x:c>
      <x:c r="C24" s="34" t="n">
        <x:v>22</x:v>
      </x:c>
      <x:c r="D24" s="35" t="n">
        <x:v>34220</x:v>
      </x:c>
      <x:c r="E24" s="36" t="n">
        <x:f>C24/D24*10000</x:f>
        <x:v>6.428988895382817</x:v>
      </x:c>
      <x:c r="F24" s="34" t="n">
        <x:v>13</x:v>
      </x:c>
      <x:c r="G24" s="32" t="str">
        <x:v>Housing Ombudsman landlord report</x:v>
      </x:c>
      <x:c r="H24" s="32" t="str"/>
    </x:row>
    <x:row r="25" ht="28" customHeight="1">
      <x:c r="A25" s="33" t="n">
        <x:v>17</x:v>
      </x:c>
      <x:c r="B25" s="37" t="str">
        <x:v>The Guinness Partnership Limited</x:v>
      </x:c>
      <x:c r="C25" s="34" t="n">
        <x:v>36</x:v>
      </x:c>
      <x:c r="D25" s="35" t="n">
        <x:v>63268</x:v>
      </x:c>
      <x:c r="E25" s="36" t="n">
        <x:f>C25/D25*10000</x:f>
        <x:v>5.690080293355251</x:v>
      </x:c>
      <x:c r="F25" s="34" t="n">
        <x:v>10</x:v>
      </x:c>
      <x:c r="G25" s="32" t="str">
        <x:v>Housing Ombudsman landlord report</x:v>
      </x:c>
      <x:c r="H25" s="32" t="str"/>
    </x:row>
    <x:row r="26" ht="28" customHeight="1">
      <x:c r="A26" s="33" t="n">
        <x:v>18</x:v>
      </x:c>
      <x:c r="B26" s="37" t="str">
        <x:v>Sovereign Network Group</x:v>
      </x:c>
      <x:c r="C26" s="34" t="n">
        <x:v>46</x:v>
      </x:c>
      <x:c r="D26" s="35" t="n">
        <x:v>83719</x:v>
      </x:c>
      <x:c r="E26" s="36" t="n">
        <x:f>C26/D26*10000</x:f>
        <x:v>5.494571124834267</x:v>
      </x:c>
      <x:c r="F26" s="34" t="n">
        <x:v>7</x:v>
      </x:c>
      <x:c r="G26" s="32" t="str">
        <x:v>Housing Ombudsman landlord report</x:v>
      </x:c>
      <x:c r="H26" s="32" t="str"/>
    </x:row>
    <x:row r="27" ht="28" customHeight="1">
      <x:c r="A27" s="33" t="n">
        <x:v>19</x:v>
      </x:c>
      <x:c r="B27" s="37" t="str">
        <x:v>Paragon Asra Housing Limited</x:v>
      </x:c>
      <x:c r="C27" s="34" t="n">
        <x:v>13</x:v>
      </x:c>
      <x:c r="D27" s="35" t="n">
        <x:v>23907</x:v>
      </x:c>
      <x:c r="E27" s="36" t="n">
        <x:f>C27/D27*10000</x:f>
        <x:v>5.43773790103317</x:v>
      </x:c>
      <x:c r="F27" s="34" t="n">
        <x:v>18</x:v>
      </x:c>
      <x:c r="G27" s="32" t="str">
        <x:v>Housing Ombudsman landlord report</x:v>
      </x:c>
      <x:c r="H27" s="32" t="str"/>
    </x:row>
    <x:row r="28" ht="28" customHeight="1">
      <x:c r="A28" s="33" t="n">
        <x:v>20</x:v>
      </x:c>
      <x:c r="B28" s="37" t="str">
        <x:v>Moat Homes Limited</x:v>
      </x:c>
      <x:c r="C28" s="34" t="n">
        <x:v>11</x:v>
      </x:c>
      <x:c r="D28" s="35" t="n">
        <x:v>20363</x:v>
      </x:c>
      <x:c r="E28" s="36" t="n">
        <x:f>C28/D28*10000</x:f>
        <x:v>5.401954525364632</x:v>
      </x:c>
      <x:c r="F28" s="34" t="n">
        <x:v>21</x:v>
      </x:c>
      <x:c r="G28" s="32" t="str">
        <x:v>Housing Ombudsman landlord report</x:v>
      </x:c>
      <x:c r="H28" s="32" t="str"/>
    </x:row>
    <x:row r="31">
      <x:c r="A31" s="56" t="str">
        <x:v>How to read this table</x:v>
      </x:c>
      <x:c r="B31" s="56"/>
      <x:c r="C31" s="56"/>
      <x:c r="D31" s="56"/>
      <x:c r="E31" s="56"/>
      <x:c r="F31" s="56"/>
      <x:c r="G31" s="56"/>
      <x:c r="H31" s="56"/>
    </x:row>
    <x:row r="32" ht="27" customHeight="1">
      <x:c r="A32" s="65" t="str">
        <x:v>This is an exposure-adjusted publication count, not a finding rate or a quality score. It counts archive determinations regardless of outcome or severity.</x:v>
      </x:c>
      <x:c r="B32" s="66"/>
      <x:c r="C32" s="66"/>
      <x:c r="D32" s="66"/>
      <x:c r="E32" s="66"/>
      <x:c r="F32" s="66"/>
      <x:c r="G32" s="66"/>
      <x:c r="H32" s="67"/>
    </x:row>
    <x:row r="33" ht="27" customHeight="1">
      <x:c r="A33" s="65" t="str">
        <x:v>The denominator is homes owned or managed under Ombudsman jurisdiction at 31 March 2025 where published; regulator stock is used as a proxy otherwise.</x:v>
      </x:c>
      <x:c r="B33" s="66"/>
      <x:c r="C33" s="66"/>
      <x:c r="D33" s="66"/>
      <x:c r="E33" s="66"/>
      <x:c r="F33" s="66"/>
      <x:c r="G33" s="66"/>
      <x:c r="H33" s="67"/>
    </x:row>
    <x:row r="34" ht="27" customHeight="1">
      <x:c r="A34" s="65" t="str">
        <x:v>The five-determination floor reduces extreme rates caused by one or two cases. It does not remove all volatility or resolve archive aliases and group structures.</x:v>
      </x:c>
      <x:c r="B34" s="66"/>
      <x:c r="C34" s="66"/>
      <x:c r="D34" s="66"/>
      <x:c r="E34" s="66"/>
      <x:c r="F34" s="66"/>
      <x:c r="G34" s="66"/>
      <x:c r="H34" s="67"/>
    </x:row>
  </x:sheetData>
  <x:mergeCells>
    <x:mergeCell ref="A1:H1"/>
    <x:mergeCell ref="A2:H2"/>
    <x:mergeCell ref="A31:H31"/>
    <x:mergeCell ref="A32:H32"/>
    <x:mergeCell ref="A33:H33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" hidden="0" customWidth="1"/>
    <x:col min="3" max="3" width="15" hidden="0" customWidth="1"/>
    <x:col min="4" max="4" width="16" hidden="0" customWidth="1"/>
    <x:col min="5" max="5" width="12" hidden="0" customWidth="1"/>
    <x:col min="6" max="6" width="10" hidden="0" customWidth="1"/>
    <x:col min="7" max="7" width="16" hidden="0" customWidth="1"/>
    <x:col min="8" max="8" width="31" hidden="0" customWidth="1"/>
    <x:col min="9" max="9" width="54" hidden="0" customWidth="1"/>
    <x:col min="10" max="10" width="52" hidden="0" customWidth="1"/>
  </x:cols>
  <x:sheetData>
    <x:row r="1">
      <x:c r="A1" s="4" t="str">
        <x:v>All provider labels and denominator audit trail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Sorted by raw determination count, matching the archive output. Formula columns recalculate the rate and eligibility test.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29" t="str">
        <x:v>Provider label</x:v>
      </x:c>
      <x:c r="B4" s="29" t="str">
        <x:v>Raw count</x:v>
      </x:c>
      <x:c r="C4" s="29" t="str">
        <x:v>Landlord homes</x:v>
      </x:c>
      <x:c r="D4" s="29" t="str">
        <x:v>Rate per 10,000</x:v>
      </x:c>
      <x:c r="E4" s="29" t="str">
        <x:v>5+ eligible?</x:v>
      </x:c>
      <x:c r="F4" s="29" t="str">
        <x:v>Raw rank</x:v>
      </x:c>
      <x:c r="G4" s="29" t="str">
        <x:v>Headline rate rank</x:v>
      </x:c>
      <x:c r="H4" s="29" t="str">
        <x:v>Denominator source</x:v>
      </x:c>
      <x:c r="I4" s="29" t="str">
        <x:v>Source URL</x:v>
      </x:c>
      <x:c r="J4" s="29" t="str">
        <x:v>Matching / proxy note</x:v>
      </x:c>
    </x:row>
    <x:row r="5" ht="31" customHeight="1">
      <x:c r="A5" s="37" t="str">
        <x:v>London &amp; Quadrant Housing Trust</x:v>
      </x:c>
      <x:c r="B5" s="34" t="n">
        <x:v>121</x:v>
      </x:c>
      <x:c r="C5" s="35" t="n">
        <x:v>102972</x:v>
      </x:c>
      <x:c r="D5" s="36" t="n">
        <x:f>B5/C5*10000</x:f>
        <x:v>11.750767198850172</x:v>
      </x:c>
      <x:c r="E5" s="34" t="str">
        <x:f>IF(B5&gt;=5,"Yes","No")</x:f>
        <x:v>Yes</x:v>
      </x:c>
      <x:c r="F5" s="34" t="n">
        <x:v>1</x:v>
      </x:c>
      <x:c r="G5" s="34" t="n">
        <x:v>4</x:v>
      </x:c>
      <x:c r="H5" s="32" t="str">
        <x:v>Housing Ombudsman landlord report</x:v>
      </x:c>
      <x:c r="I5" s="69" t="str">
        <x:v>https://www.housing-ombudsman.org.uk/app/uploads/2025/09/Landlord-Report-London-Quadrant-Housing-Trust-LQ.pdf</x:v>
      </x:c>
      <x:c r="J5" s="32" t="str"/>
    </x:row>
    <x:row r="6" ht="31" customHeight="1">
      <x:c r="A6" s="37" t="str">
        <x:v>Clarion Housing Association Limited</x:v>
      </x:c>
      <x:c r="B6" s="34" t="n">
        <x:v>81</x:v>
      </x:c>
      <x:c r="C6" s="35" t="n">
        <x:v>120288</x:v>
      </x:c>
      <x:c r="D6" s="36" t="n">
        <x:f>B6/C6*10000</x:f>
        <x:v>6.733838786911413</x:v>
      </x:c>
      <x:c r="E6" s="34" t="str">
        <x:f>IF(B6&gt;=5,"Yes","No")</x:f>
        <x:v>Yes</x:v>
      </x:c>
      <x:c r="F6" s="34" t="n">
        <x:v>2</x:v>
      </x:c>
      <x:c r="G6" s="34" t="n">
        <x:v>14</x:v>
      </x:c>
      <x:c r="H6" s="32" t="str">
        <x:v>Housing Ombudsman landlord report</x:v>
      </x:c>
      <x:c r="I6" s="69" t="str">
        <x:v>https://www.housing-ombudsman.org.uk/app/uploads/2025/09/Landlord-Report-Clarion-Housing-Association-Limited.pdf</x:v>
      </x:c>
      <x:c r="J6" s="32" t="str"/>
    </x:row>
    <x:row r="7" ht="31" customHeight="1">
      <x:c r="A7" s="37" t="str">
        <x:v>Notting Hill Genesis</x:v>
      </x:c>
      <x:c r="B7" s="34" t="n">
        <x:v>78</x:v>
      </x:c>
      <x:c r="C7" s="35" t="n">
        <x:v>63584</x:v>
      </x:c>
      <x:c r="D7" s="36" t="n">
        <x:f>B7/C7*10000</x:f>
        <x:v>12.267237040764973</x:v>
      </x:c>
      <x:c r="E7" s="34" t="str">
        <x:f>IF(B7&gt;=5,"Yes","No")</x:f>
        <x:v>Yes</x:v>
      </x:c>
      <x:c r="F7" s="34" t="n">
        <x:v>3</x:v>
      </x:c>
      <x:c r="G7" s="34" t="n">
        <x:v>3</x:v>
      </x:c>
      <x:c r="H7" s="32" t="str">
        <x:v>Housing Ombudsman landlord report</x:v>
      </x:c>
      <x:c r="I7" s="69" t="str">
        <x:v>https://www.housing-ombudsman.org.uk/app/uploads/2025/09/Landlord-Report-Notting-Hill-Genesis-NHG.pdf</x:v>
      </x:c>
      <x:c r="J7" s="32" t="str"/>
    </x:row>
    <x:row r="8" ht="31" customHeight="1">
      <x:c r="A8" s="37" t="str">
        <x:v>Peabody Trust</x:v>
      </x:c>
      <x:c r="B8" s="34" t="n">
        <x:v>60</x:v>
      </x:c>
      <x:c r="C8" s="35" t="n">
        <x:v>89939</x:v>
      </x:c>
      <x:c r="D8" s="36" t="n">
        <x:f>B8/C8*10000</x:f>
        <x:v>6.6711882498137625</x:v>
      </x:c>
      <x:c r="E8" s="34" t="str">
        <x:f>IF(B8&gt;=5,"Yes","No")</x:f>
        <x:v>Yes</x:v>
      </x:c>
      <x:c r="F8" s="34" t="n">
        <x:v>4</x:v>
      </x:c>
      <x:c r="G8" s="34" t="n">
        <x:v>15</x:v>
      </x:c>
      <x:c r="H8" s="32" t="str">
        <x:v>Housing Ombudsman landlord report</x:v>
      </x:c>
      <x:c r="I8" s="69" t="str">
        <x:v>https://www.housing-ombudsman.org.uk/app/uploads/2025/09/Landlord-Report-Peabody-Trust.pdf</x:v>
      </x:c>
      <x:c r="J8" s="32" t="str"/>
    </x:row>
    <x:row r="9" ht="31" customHeight="1">
      <x:c r="A9" s="37" t="str">
        <x:v>Southern Housing</x:v>
      </x:c>
      <x:c r="B9" s="34" t="n">
        <x:v>52</x:v>
      </x:c>
      <x:c r="C9" s="35" t="n">
        <x:v>76224</x:v>
      </x:c>
      <x:c r="D9" s="36" t="n">
        <x:f>B9/C9*10000</x:f>
        <x:v>6.821998320738875</x:v>
      </x:c>
      <x:c r="E9" s="34" t="str">
        <x:f>IF(B9&gt;=5,"Yes","No")</x:f>
        <x:v>Yes</x:v>
      </x:c>
      <x:c r="F9" s="34" t="n">
        <x:v>5</x:v>
      </x:c>
      <x:c r="G9" s="34" t="n">
        <x:v>12</x:v>
      </x:c>
      <x:c r="H9" s="32" t="str">
        <x:v>Housing Ombudsman landlord report</x:v>
      </x:c>
      <x:c r="I9" s="69" t="str">
        <x:v>https://www.housing-ombudsman.org.uk/app/uploads/2025/09/Landlord-Report-Southern-Housing.pdf</x:v>
      </x:c>
      <x:c r="J9" s="32" t="str"/>
    </x:row>
    <x:row r="10" ht="31" customHeight="1">
      <x:c r="A10" s="37" t="str">
        <x:v>Sanctuary Housing Association</x:v>
      </x:c>
      <x:c r="B10" s="34" t="n">
        <x:v>47</x:v>
      </x:c>
      <x:c r="C10" s="35" t="n">
        <x:v>98193</x:v>
      </x:c>
      <x:c r="D10" s="36" t="n">
        <x:f>B10/C10*10000</x:f>
        <x:v>4.786491908791869</x:v>
      </x:c>
      <x:c r="E10" s="34" t="str">
        <x:f>IF(B10&gt;=5,"Yes","No")</x:f>
        <x:v>Yes</x:v>
      </x:c>
      <x:c r="F10" s="34" t="n">
        <x:v>6</x:v>
      </x:c>
      <x:c r="G10" s="34" t="n">
        <x:v>24</x:v>
      </x:c>
      <x:c r="H10" s="32" t="str">
        <x:v>Housing Ombudsman landlord report</x:v>
      </x:c>
      <x:c r="I10" s="69" t="str">
        <x:v>https://www.housing-ombudsman.org.uk/app/uploads/2025/09/Landlord-Report-Sanctuary-Housing-Association.pdf</x:v>
      </x:c>
      <x:c r="J10" s="32" t="str"/>
    </x:row>
    <x:row r="11" ht="31" customHeight="1">
      <x:c r="A11" s="37" t="str">
        <x:v>Sovereign Network Group</x:v>
      </x:c>
      <x:c r="B11" s="34" t="n">
        <x:v>46</x:v>
      </x:c>
      <x:c r="C11" s="35" t="n">
        <x:v>83719</x:v>
      </x:c>
      <x:c r="D11" s="36" t="n">
        <x:f>B11/C11*10000</x:f>
        <x:v>5.494571124834267</x:v>
      </x:c>
      <x:c r="E11" s="34" t="str">
        <x:f>IF(B11&gt;=5,"Yes","No")</x:f>
        <x:v>Yes</x:v>
      </x:c>
      <x:c r="F11" s="34" t="n">
        <x:v>7</x:v>
      </x:c>
      <x:c r="G11" s="34" t="n">
        <x:v>18</x:v>
      </x:c>
      <x:c r="H11" s="32" t="str">
        <x:v>Housing Ombudsman landlord report</x:v>
      </x:c>
      <x:c r="I11" s="69" t="str">
        <x:v>https://www.housing-ombudsman.org.uk/app/uploads/2025/09/Landlord-Report-Sovereign-Network-Group.pdf</x:v>
      </x:c>
      <x:c r="J11" s="32" t="str"/>
    </x:row>
    <x:row r="12" ht="31" customHeight="1">
      <x:c r="A12" s="37" t="str">
        <x:v>Hyde Housing Association Limited</x:v>
      </x:c>
      <x:c r="B12" s="34" t="n">
        <x:v>39</x:v>
      </x:c>
      <x:c r="C12" s="35" t="n">
        <x:v>40734</x:v>
      </x:c>
      <x:c r="D12" s="36" t="n">
        <x:f>B12/C12*10000</x:f>
        <x:v>9.574311386065695</x:v>
      </x:c>
      <x:c r="E12" s="34" t="str">
        <x:f>IF(B12&gt;=5,"Yes","No")</x:f>
        <x:v>Yes</x:v>
      </x:c>
      <x:c r="F12" s="34" t="n">
        <x:v>8</x:v>
      </x:c>
      <x:c r="G12" s="34" t="n">
        <x:v>6</x:v>
      </x:c>
      <x:c r="H12" s="32" t="str">
        <x:v>Housing Ombudsman landlord report</x:v>
      </x:c>
      <x:c r="I12" s="69" t="str">
        <x:v>https://www.housing-ombudsman.org.uk/app/uploads/2025/11/Landlord-Report-Hyde.pdf</x:v>
      </x:c>
      <x:c r="J12" s="32" t="str"/>
    </x:row>
    <x:row r="13" ht="31" customHeight="1">
      <x:c r="A13" s="37" t="str">
        <x:v>Metropolitan Thames Valley Housing (MTV)</x:v>
      </x:c>
      <x:c r="B13" s="34" t="n">
        <x:v>38</x:v>
      </x:c>
      <x:c r="C13" s="35" t="n">
        <x:v>51109</x:v>
      </x:c>
      <x:c r="D13" s="36" t="n">
        <x:f>B13/C13*10000</x:f>
        <x:v>7.435089710227161</x:v>
      </x:c>
      <x:c r="E13" s="34" t="str">
        <x:f>IF(B13&gt;=5,"Yes","No")</x:f>
        <x:v>Yes</x:v>
      </x:c>
      <x:c r="F13" s="34" t="n">
        <x:v>9</x:v>
      </x:c>
      <x:c r="G13" s="34" t="n">
        <x:v>11</x:v>
      </x:c>
      <x:c r="H13" s="32" t="str">
        <x:v>Housing Ombudsman landlord report</x:v>
      </x:c>
      <x:c r="I13" s="69" t="str">
        <x:v>https://www.housing-ombudsman.org.uk/app/uploads/2025/09/Landlord-Report-Metropolitan-Thames-Valley-Housing-MTV.pdf</x:v>
      </x:c>
      <x:c r="J13" s="32" t="str"/>
    </x:row>
    <x:row r="14" ht="31" customHeight="1">
      <x:c r="A14" s="37" t="str">
        <x:v>The Guinness Partnership Limited</x:v>
      </x:c>
      <x:c r="B14" s="34" t="n">
        <x:v>36</x:v>
      </x:c>
      <x:c r="C14" s="35" t="n">
        <x:v>63268</x:v>
      </x:c>
      <x:c r="D14" s="36" t="n">
        <x:f>B14/C14*10000</x:f>
        <x:v>5.690080293355251</x:v>
      </x:c>
      <x:c r="E14" s="34" t="str">
        <x:f>IF(B14&gt;=5,"Yes","No")</x:f>
        <x:v>Yes</x:v>
      </x:c>
      <x:c r="F14" s="34" t="n">
        <x:v>10</x:v>
      </x:c>
      <x:c r="G14" s="34" t="n">
        <x:v>17</x:v>
      </x:c>
      <x:c r="H14" s="32" t="str">
        <x:v>Housing Ombudsman landlord report</x:v>
      </x:c>
      <x:c r="I14" s="69" t="str">
        <x:v>https://www.housing-ombudsman.org.uk/app/uploads/2025/09/Landlord-Report-The-Guinness-Partnership-Limited.pdf</x:v>
      </x:c>
      <x:c r="J14" s="32" t="str"/>
    </x:row>
    <x:row r="15" ht="31" customHeight="1">
      <x:c r="A15" s="37" t="str">
        <x:v>A2Dominion Housing Group Limited</x:v>
      </x:c>
      <x:c r="B15" s="34" t="n">
        <x:v>31</x:v>
      </x:c>
      <x:c r="C15" s="35" t="n">
        <x:v>34473</x:v>
      </x:c>
      <x:c r="D15" s="36" t="n">
        <x:f>B15/C15*10000</x:f>
        <x:v>8.992544890203929</x:v>
      </x:c>
      <x:c r="E15" s="34" t="str">
        <x:f>IF(B15&gt;=5,"Yes","No")</x:f>
        <x:v>Yes</x:v>
      </x:c>
      <x:c r="F15" s="34" t="n">
        <x:v>11</x:v>
      </x:c>
      <x:c r="G15" s="34" t="n">
        <x:v>7</x:v>
      </x:c>
      <x:c r="H15" s="32" t="str">
        <x:v>Housing Ombudsman landlord report</x:v>
      </x:c>
      <x:c r="I15" s="69" t="str">
        <x:v>https://www.housing-ombudsman.org.uk/app/uploads/2025/09/Landlord-Report-A2Dominion-Housing-Group-Limited.pdf</x:v>
      </x:c>
      <x:c r="J15" s="32" t="str"/>
    </x:row>
    <x:row r="16" ht="31" customHeight="1">
      <x:c r="A16" s="37" t="str">
        <x:v>Places for People Group Limited</x:v>
      </x:c>
      <x:c r="B16" s="34" t="n">
        <x:v>27</x:v>
      </x:c>
      <x:c r="C16" s="35" t="n">
        <x:v>70505</x:v>
      </x:c>
      <x:c r="D16" s="36" t="n">
        <x:f>B16/C16*10000</x:f>
        <x:v>3.8295156371888517</x:v>
      </x:c>
      <x:c r="E16" s="34" t="str">
        <x:f>IF(B16&gt;=5,"Yes","No")</x:f>
        <x:v>Yes</x:v>
      </x:c>
      <x:c r="F16" s="34" t="n">
        <x:v>12</x:v>
      </x:c>
      <x:c r="G16" s="34" t="n">
        <x:v>30</x:v>
      </x:c>
      <x:c r="H16" s="32" t="str">
        <x:v>Housing Ombudsman landlord report</x:v>
      </x:c>
      <x:c r="I16" s="69" t="str">
        <x:v>https://www.housing-ombudsman.org.uk/app/uploads/2025/09/Landlord-Report-Places-for-People-Homes-Limited.pdf</x:v>
      </x:c>
      <x:c r="J16" s="32" t="str"/>
    </x:row>
    <x:row r="17" ht="31" customHeight="1">
      <x:c r="A17" s="37" t="str">
        <x:v>Stonewater Limited</x:v>
      </x:c>
      <x:c r="B17" s="34" t="n">
        <x:v>22</x:v>
      </x:c>
      <x:c r="C17" s="35" t="n">
        <x:v>34220</x:v>
      </x:c>
      <x:c r="D17" s="36" t="n">
        <x:f>B17/C17*10000</x:f>
        <x:v>6.428988895382817</x:v>
      </x:c>
      <x:c r="E17" s="34" t="str">
        <x:f>IF(B17&gt;=5,"Yes","No")</x:f>
        <x:v>Yes</x:v>
      </x:c>
      <x:c r="F17" s="34" t="n">
        <x:v>13</x:v>
      </x:c>
      <x:c r="G17" s="34" t="n">
        <x:v>16</x:v>
      </x:c>
      <x:c r="H17" s="32" t="str">
        <x:v>Housing Ombudsman landlord report</x:v>
      </x:c>
      <x:c r="I17" s="69" t="str">
        <x:v>https://www.housing-ombudsman.org.uk/app/uploads/2025/09/Landlord-Report-Stonewater-Limited.pdf</x:v>
      </x:c>
      <x:c r="J17" s="32" t="str"/>
    </x:row>
    <x:row r="18" ht="31" customHeight="1">
      <x:c r="A18" s="37" t="str">
        <x:v>Home Group Limited</x:v>
      </x:c>
      <x:c r="B18" s="34" t="n">
        <x:v>22</x:v>
      </x:c>
      <x:c r="C18" s="35" t="n">
        <x:v>51986</x:v>
      </x:c>
      <x:c r="D18" s="36" t="n">
        <x:f>B18/C18*10000</x:f>
        <x:v>4.23190859077444</x:v>
      </x:c>
      <x:c r="E18" s="34" t="str">
        <x:f>IF(B18&gt;=5,"Yes","No")</x:f>
        <x:v>Yes</x:v>
      </x:c>
      <x:c r="F18" s="34" t="n">
        <x:v>13</x:v>
      </x:c>
      <x:c r="G18" s="34" t="n">
        <x:v>28</x:v>
      </x:c>
      <x:c r="H18" s="32" t="str">
        <x:v>Housing Ombudsman landlord report</x:v>
      </x:c>
      <x:c r="I18" s="69" t="str">
        <x:v>https://www.housing-ombudsman.org.uk/app/uploads/2025/09/Landlord-Report-Home-Group-Limited.pdf</x:v>
      </x:c>
      <x:c r="J18" s="32" t="str"/>
    </x:row>
    <x:row r="19" ht="31" customHeight="1">
      <x:c r="A19" s="37" t="str">
        <x:v>GreenSquareAccord Limited</x:v>
      </x:c>
      <x:c r="B19" s="34" t="n">
        <x:v>20</x:v>
      </x:c>
      <x:c r="C19" s="35" t="n">
        <x:v>26115</x:v>
      </x:c>
      <x:c r="D19" s="36" t="n">
        <x:f>B19/C19*10000</x:f>
        <x:v>7.658433850277619</x:v>
      </x:c>
      <x:c r="E19" s="34" t="str">
        <x:f>IF(B19&gt;=5,"Yes","No")</x:f>
        <x:v>Yes</x:v>
      </x:c>
      <x:c r="F19" s="34" t="n">
        <x:v>15</x:v>
      </x:c>
      <x:c r="G19" s="34" t="n">
        <x:v>9</x:v>
      </x:c>
      <x:c r="H19" s="32" t="str">
        <x:v>Housing Ombudsman landlord report</x:v>
      </x:c>
      <x:c r="I19" s="69" t="str">
        <x:v>https://www.housing-ombudsman.org.uk/app/uploads/2025/09/Landlord-Report-GreenSquareAccord-Limited.pdf</x:v>
      </x:c>
      <x:c r="J19" s="32" t="str"/>
    </x:row>
    <x:row r="20" ht="31" customHeight="1">
      <x:c r="A20" s="37" t="str">
        <x:v>Amplius Living</x:v>
      </x:c>
      <x:c r="B20" s="34" t="n">
        <x:v>19</x:v>
      </x:c>
      <x:c r="C20" s="35" t="n">
        <x:v>37995</x:v>
      </x:c>
      <x:c r="D20" s="36" t="n">
        <x:f>B20/C20*10000</x:f>
        <x:v>5.000657981313331</x:v>
      </x:c>
      <x:c r="E20" s="34" t="str">
        <x:f>IF(B20&gt;=5,"Yes","No")</x:f>
        <x:v>Yes</x:v>
      </x:c>
      <x:c r="F20" s="34" t="n">
        <x:v>16</x:v>
      </x:c>
      <x:c r="G20" s="34" t="n">
        <x:v>23</x:v>
      </x:c>
      <x:c r="H20" s="32" t="str">
        <x:v>Housing Ombudsman landlord report</x:v>
      </x:c>
      <x:c r="I20" s="69" t="str">
        <x:v>https://www.housing-ombudsman.org.uk/app/uploads/2025/09/Landlord-Report-Amplius-Living.pdf</x:v>
      </x:c>
      <x:c r="J20" s="32" t="str"/>
    </x:row>
    <x:row r="21" ht="31" customHeight="1">
      <x:c r="A21" s="37" t="str">
        <x:v>Torus62 Limited</x:v>
      </x:c>
      <x:c r="B21" s="34" t="n">
        <x:v>16</x:v>
      </x:c>
      <x:c r="C21" s="35" t="n">
        <x:v>40652</x:v>
      </x:c>
      <x:c r="D21" s="36" t="n">
        <x:f>B21/C21*10000</x:f>
        <x:v>3.9358457148479777</x:v>
      </x:c>
      <x:c r="E21" s="34" t="str">
        <x:f>IF(B21&gt;=5,"Yes","No")</x:f>
        <x:v>Yes</x:v>
      </x:c>
      <x:c r="F21" s="34" t="n">
        <x:v>17</x:v>
      </x:c>
      <x:c r="G21" s="34" t="n">
        <x:v>29</x:v>
      </x:c>
      <x:c r="H21" s="32" t="str">
        <x:v>Housing Ombudsman landlord report</x:v>
      </x:c>
      <x:c r="I21" s="69" t="str">
        <x:v>https://www.housing-ombudsman.org.uk/app/uploads/2025/09/Landlord-Report-Torus62-Limited.pdf</x:v>
      </x:c>
      <x:c r="J21" s="32" t="str"/>
    </x:row>
    <x:row r="22" ht="31" customHeight="1">
      <x:c r="A22" s="37" t="str">
        <x:v>Paragon Asra Housing Limited</x:v>
      </x:c>
      <x:c r="B22" s="34" t="n">
        <x:v>13</x:v>
      </x:c>
      <x:c r="C22" s="35" t="n">
        <x:v>23907</x:v>
      </x:c>
      <x:c r="D22" s="36" t="n">
        <x:f>B22/C22*10000</x:f>
        <x:v>5.43773790103317</x:v>
      </x:c>
      <x:c r="E22" s="34" t="str">
        <x:f>IF(B22&gt;=5,"Yes","No")</x:f>
        <x:v>Yes</x:v>
      </x:c>
      <x:c r="F22" s="34" t="n">
        <x:v>18</x:v>
      </x:c>
      <x:c r="G22" s="34" t="n">
        <x:v>19</x:v>
      </x:c>
      <x:c r="H22" s="32" t="str">
        <x:v>Housing Ombudsman landlord report</x:v>
      </x:c>
      <x:c r="I22" s="69" t="str">
        <x:v>https://www.housing-ombudsman.org.uk/app/uploads/2025/09/Landlord-Report-Paragon-Asra-Housing-Limited.pdf</x:v>
      </x:c>
      <x:c r="J22" s="32" t="str"/>
    </x:row>
    <x:row r="23" ht="31" customHeight="1">
      <x:c r="A23" s="37" t="str">
        <x:v>The Riverside Group Limited</x:v>
      </x:c>
      <x:c r="B23" s="34" t="n">
        <x:v>13</x:v>
      </x:c>
      <x:c r="C23" s="35" t="n">
        <x:v>71019</x:v>
      </x:c>
      <x:c r="D23" s="36" t="n">
        <x:f>B23/C23*10000</x:f>
        <x:v>1.8304960644334616</x:v>
      </x:c>
      <x:c r="E23" s="34" t="str">
        <x:f>IF(B23&gt;=5,"Yes","No")</x:f>
        <x:v>Yes</x:v>
      </x:c>
      <x:c r="F23" s="34" t="n">
        <x:v>18</x:v>
      </x:c>
      <x:c r="G23" s="34" t="n">
        <x:v>42</x:v>
      </x:c>
      <x:c r="H23" s="32" t="str">
        <x:v>Housing Ombudsman landlord report</x:v>
      </x:c>
      <x:c r="I23" s="69" t="str">
        <x:v>https://www.housing-ombudsman.org.uk/app/uploads/2025/09/Landlord-Report-The-Riverside-Group-Limited.pdf</x:v>
      </x:c>
      <x:c r="J23" s="32" t="str"/>
    </x:row>
    <x:row r="24" ht="31" customHeight="1">
      <x:c r="A24" s="37" t="str">
        <x:v>Citizen Housing Group Limited</x:v>
      </x:c>
      <x:c r="B24" s="34" t="n">
        <x:v>12</x:v>
      </x:c>
      <x:c r="C24" s="35" t="n">
        <x:v>32006</x:v>
      </x:c>
      <x:c r="D24" s="36" t="n">
        <x:f>B24/C24*10000</x:f>
        <x:v>3.749297006811223</x:v>
      </x:c>
      <x:c r="E24" s="34" t="str">
        <x:f>IF(B24&gt;=5,"Yes","No")</x:f>
        <x:v>Yes</x:v>
      </x:c>
      <x:c r="F24" s="34" t="n">
        <x:v>20</x:v>
      </x:c>
      <x:c r="G24" s="34" t="n">
        <x:v>31</x:v>
      </x:c>
      <x:c r="H24" s="32" t="str">
        <x:v>Housing Ombudsman landlord report</x:v>
      </x:c>
      <x:c r="I24" s="69" t="str">
        <x:v>https://www.housing-ombudsman.org.uk/app/uploads/2025/09/Landlord-Report-Citizen-Housing.pdf</x:v>
      </x:c>
      <x:c r="J24" s="32" t="str"/>
    </x:row>
    <x:row r="25" ht="31" customHeight="1">
      <x:c r="A25" s="37" t="str">
        <x:v>Moat Homes Limited</x:v>
      </x:c>
      <x:c r="B25" s="34" t="n">
        <x:v>11</x:v>
      </x:c>
      <x:c r="C25" s="35" t="n">
        <x:v>20363</x:v>
      </x:c>
      <x:c r="D25" s="36" t="n">
        <x:f>B25/C25*10000</x:f>
        <x:v>5.401954525364632</x:v>
      </x:c>
      <x:c r="E25" s="34" t="str">
        <x:f>IF(B25&gt;=5,"Yes","No")</x:f>
        <x:v>Yes</x:v>
      </x:c>
      <x:c r="F25" s="34" t="n">
        <x:v>21</x:v>
      </x:c>
      <x:c r="G25" s="34" t="n">
        <x:v>20</x:v>
      </x:c>
      <x:c r="H25" s="32" t="str">
        <x:v>Housing Ombudsman landlord report</x:v>
      </x:c>
      <x:c r="I25" s="69" t="str">
        <x:v>https://www.housing-ombudsman.org.uk/app/uploads/2025/09/Landlord-Report-Moat-Homes-Limited.pdf</x:v>
      </x:c>
      <x:c r="J25" s="32" t="str"/>
    </x:row>
    <x:row r="26" ht="31" customHeight="1">
      <x:c r="A26" s="37" t="str">
        <x:v>Abri Group Limited</x:v>
      </x:c>
      <x:c r="B26" s="34" t="n">
        <x:v>11</x:v>
      </x:c>
      <x:c r="C26" s="35" t="n">
        <x:v>42860</x:v>
      </x:c>
      <x:c r="D26" s="36" t="n">
        <x:f>B26/C26*10000</x:f>
        <x:v>2.5664955669622027</x:v>
      </x:c>
      <x:c r="E26" s="34" t="str">
        <x:f>IF(B26&gt;=5,"Yes","No")</x:f>
        <x:v>Yes</x:v>
      </x:c>
      <x:c r="F26" s="34" t="n">
        <x:v>21</x:v>
      </x:c>
      <x:c r="G26" s="34" t="n">
        <x:v>38</x:v>
      </x:c>
      <x:c r="H26" s="32" t="str">
        <x:v>Housing Ombudsman landlord report</x:v>
      </x:c>
      <x:c r="I26" s="69" t="str">
        <x:v>https://www.housing-ombudsman.org.uk/app/uploads/2025/09/Landlord-Report-Abri-Group-Limited.pdf</x:v>
      </x:c>
      <x:c r="J26" s="32" t="str"/>
    </x:row>
    <x:row r="27" ht="31" customHeight="1">
      <x:c r="A27" s="37" t="str">
        <x:v>Midland Heart Limited</x:v>
      </x:c>
      <x:c r="B27" s="34" t="n">
        <x:v>10</x:v>
      </x:c>
      <x:c r="C27" s="35" t="n">
        <x:v>33968</x:v>
      </x:c>
      <x:c r="D27" s="36" t="n">
        <x:f>B27/C27*10000</x:f>
        <x:v>2.943947244465379</x:v>
      </x:c>
      <x:c r="E27" s="34" t="str">
        <x:f>IF(B27&gt;=5,"Yes","No")</x:f>
        <x:v>Yes</x:v>
      </x:c>
      <x:c r="F27" s="34" t="n">
        <x:v>23</x:v>
      </x:c>
      <x:c r="G27" s="34" t="n">
        <x:v>35</x:v>
      </x:c>
      <x:c r="H27" s="32" t="str">
        <x:v>Housing Ombudsman landlord report</x:v>
      </x:c>
      <x:c r="I27" s="69" t="str">
        <x:v>https://www.housing-ombudsman.org.uk/app/uploads/2025/09/Landlord-Report-Midland-Heart-Limited.pdf</x:v>
      </x:c>
      <x:c r="J27" s="32" t="str"/>
    </x:row>
    <x:row r="28" ht="31" customHeight="1">
      <x:c r="A28" s="37" t="str">
        <x:v>LiveWest Homes Limited</x:v>
      </x:c>
      <x:c r="B28" s="34" t="n">
        <x:v>10</x:v>
      </x:c>
      <x:c r="C28" s="35" t="n">
        <x:v>38764</x:v>
      </x:c>
      <x:c r="D28" s="36" t="n">
        <x:f>B28/C28*10000</x:f>
        <x:v>2.5797131358992877</x:v>
      </x:c>
      <x:c r="E28" s="34" t="str">
        <x:f>IF(B28&gt;=5,"Yes","No")</x:f>
        <x:v>Yes</x:v>
      </x:c>
      <x:c r="F28" s="34" t="n">
        <x:v>23</x:v>
      </x:c>
      <x:c r="G28" s="34" t="n">
        <x:v>37</x:v>
      </x:c>
      <x:c r="H28" s="32" t="str">
        <x:v>Housing Ombudsman landlord report</x:v>
      </x:c>
      <x:c r="I28" s="69" t="str">
        <x:v>https://www.housing-ombudsman.org.uk/app/uploads/2025/09/Landlord-Report-LiveWest-Homes-Limited.pdf</x:v>
      </x:c>
      <x:c r="J28" s="32" t="str"/>
    </x:row>
    <x:row r="29" ht="31" customHeight="1">
      <x:c r="A29" s="37" t="str">
        <x:v>Your Housing Group Limited</x:v>
      </x:c>
      <x:c r="B29" s="34" t="n">
        <x:v>10</x:v>
      </x:c>
      <x:c r="C29" s="35" t="n">
        <x:v>28010</x:v>
      </x:c>
      <x:c r="D29" s="36" t="n">
        <x:f>B29/C29*10000</x:f>
        <x:v>3.570153516601214</x:v>
      </x:c>
      <x:c r="E29" s="34" t="str">
        <x:f>IF(B29&gt;=5,"Yes","No")</x:f>
        <x:v>Yes</x:v>
      </x:c>
      <x:c r="F29" s="34" t="n">
        <x:v>23</x:v>
      </x:c>
      <x:c r="G29" s="34" t="n">
        <x:v>32</x:v>
      </x:c>
      <x:c r="H29" s="32" t="str">
        <x:v>Housing Ombudsman landlord report</x:v>
      </x:c>
      <x:c r="I29" s="69" t="str">
        <x:v>https://www.housing-ombudsman.org.uk/app/uploads/2025/11/Landlord-Report-Your-Housing.pdf</x:v>
      </x:c>
      <x:c r="J29" s="32" t="str"/>
    </x:row>
    <x:row r="30" ht="31" customHeight="1">
      <x:c r="A30" s="37" t="str">
        <x:v>Orbit Group Limited</x:v>
      </x:c>
      <x:c r="B30" s="34" t="n">
        <x:v>9</x:v>
      </x:c>
      <x:c r="C30" s="35" t="n">
        <x:v>43136</x:v>
      </x:c>
      <x:c r="D30" s="36" t="n">
        <x:f>B30/C30*10000</x:f>
        <x:v>2.0864243323442135</x:v>
      </x:c>
      <x:c r="E30" s="34" t="str">
        <x:f>IF(B30&gt;=5,"Yes","No")</x:f>
        <x:v>Yes</x:v>
      </x:c>
      <x:c r="F30" s="34" t="n">
        <x:v>26</x:v>
      </x:c>
      <x:c r="G30" s="34" t="n">
        <x:v>40</x:v>
      </x:c>
      <x:c r="H30" s="32" t="str">
        <x:v>Housing Ombudsman landlord report</x:v>
      </x:c>
      <x:c r="I30" s="69" t="str">
        <x:v>https://www.housing-ombudsman.org.uk/app/uploads/2025/09/Landlord-Report-Orbit-Group-Limited.pdf</x:v>
      </x:c>
      <x:c r="J30" s="32" t="str"/>
    </x:row>
    <x:row r="31" ht="31" customHeight="1">
      <x:c r="A31" s="37" t="str">
        <x:v>Newlon Housing Trust</x:v>
      </x:c>
      <x:c r="B31" s="34" t="n">
        <x:v>9</x:v>
      </x:c>
      <x:c r="C31" s="35" t="n">
        <x:v>7996</x:v>
      </x:c>
      <x:c r="D31" s="36" t="n">
        <x:f>B31/C31*10000</x:f>
        <x:v>11.255627813906953</x:v>
      </x:c>
      <x:c r="E31" s="34" t="str">
        <x:f>IF(B31&gt;=5,"Yes","No")</x:f>
        <x:v>Yes</x:v>
      </x:c>
      <x:c r="F31" s="34" t="n">
        <x:v>26</x:v>
      </x:c>
      <x:c r="G31" s="34" t="n">
        <x:v>5</x:v>
      </x:c>
      <x:c r="H31" s="32" t="str">
        <x:v>Housing Ombudsman landlord report</x:v>
      </x:c>
      <x:c r="I31" s="69" t="str">
        <x:v>https://www.housing-ombudsman.org.uk/app/uploads/2025/09/Landlord-Report-Newlon-Housing-Trust.pdf</x:v>
      </x:c>
      <x:c r="J31" s="32" t="str"/>
    </x:row>
    <x:row r="32" ht="31" customHeight="1">
      <x:c r="A32" s="37" t="str">
        <x:v>Octavia Housing</x:v>
      </x:c>
      <x:c r="B32" s="34" t="n">
        <x:v>9</x:v>
      </x:c>
      <x:c r="C32" s="35" t="n">
        <x:v>5437</x:v>
      </x:c>
      <x:c r="D32" s="36" t="n">
        <x:f>B32/C32*10000</x:f>
        <x:v>16.553246275519587</x:v>
      </x:c>
      <x:c r="E32" s="34" t="str">
        <x:f>IF(B32&gt;=5,"Yes","No")</x:f>
        <x:v>Yes</x:v>
      </x:c>
      <x:c r="F32" s="34" t="n">
        <x:v>26</x:v>
      </x:c>
      <x:c r="G32" s="34" t="n">
        <x:v>1</x:v>
      </x:c>
      <x:c r="H32" s="32" t="str">
        <x:v>Housing Ombudsman landlord report</x:v>
      </x:c>
      <x:c r="I32" s="69" t="str">
        <x:v>https://www.housing-ombudsman.org.uk/app/uploads/2025/09/Landlord-Report-Octavia-Housing.pdf</x:v>
      </x:c>
      <x:c r="J32" s="32" t="str"/>
    </x:row>
    <x:row r="33" ht="31" customHeight="1">
      <x:c r="A33" s="37" t="str">
        <x:v>One Housing Group Limited</x:v>
      </x:c>
      <x:c r="B33" s="34" t="n">
        <x:v>9</x:v>
      </x:c>
      <x:c r="C33" s="35" t="n">
        <x:v>17312</x:v>
      </x:c>
      <x:c r="D33" s="36" t="n">
        <x:f>B33/C33*10000</x:f>
        <x:v>5.198706099815157</x:v>
      </x:c>
      <x:c r="E33" s="34" t="str">
        <x:f>IF(B33&gt;=5,"Yes","No")</x:f>
        <x:v>Yes</x:v>
      </x:c>
      <x:c r="F33" s="34" t="n">
        <x:v>26</x:v>
      </x:c>
      <x:c r="G33" s="34" t="n">
        <x:v>21</x:v>
      </x:c>
      <x:c r="H33" s="32" t="str">
        <x:v>Historical stock proxy</x:v>
      </x:c>
      <x:c r="I33" s="69" t="str">
        <x:v>https://democracy.towerhamlets.gov.uk/mgConvert2PDF.aspx?ID=192201</x:v>
      </x:c>
      <x:c r="J33" s="32" t="str">
        <x:v>One Housing had transferred its stock to Riverside before the 31 March 2025 denominator date. The 17,312-home figure is a historic pre-integration proxy, so its adjusted rank is indicative.</x:v>
      </x:c>
    </x:row>
    <x:row r="34" ht="31" customHeight="1">
      <x:c r="A34" s="37" t="str">
        <x:v>Hexagon Housing Association Limited</x:v>
      </x:c>
      <x:c r="B34" s="34" t="n">
        <x:v>7</x:v>
      </x:c>
      <x:c r="C34" s="35" t="n">
        <x:v>4409</x:v>
      </x:c>
      <x:c r="D34" s="36" t="n">
        <x:f>B34/C34*10000</x:f>
        <x:v>15.876616012701295</x:v>
      </x:c>
      <x:c r="E34" s="34" t="str">
        <x:f>IF(B34&gt;=5,"Yes","No")</x:f>
        <x:v>Yes</x:v>
      </x:c>
      <x:c r="F34" s="34" t="n">
        <x:v>30</x:v>
      </x:c>
      <x:c r="G34" s="34" t="n">
        <x:v>2</x:v>
      </x:c>
      <x:c r="H34" s="32" t="str">
        <x:v>Housing Ombudsman landlord report</x:v>
      </x:c>
      <x:c r="I34" s="69" t="str">
        <x:v>https://www.housing-ombudsman.org.uk/app/uploads/2025/09/Landlord-Report-Hexagon-Housing-Association-Limited.pdf</x:v>
      </x:c>
      <x:c r="J34" s="32" t="str"/>
    </x:row>
    <x:row r="35" ht="31" customHeight="1">
      <x:c r="A35" s="37" t="str">
        <x:v>Onward Homes Limited</x:v>
      </x:c>
      <x:c r="B35" s="34" t="n">
        <x:v>7</x:v>
      </x:c>
      <x:c r="C35" s="35" t="n">
        <x:v>31418</x:v>
      </x:c>
      <x:c r="D35" s="36" t="n">
        <x:f>B35/C35*10000</x:f>
        <x:v>2.2280221529059774</x:v>
      </x:c>
      <x:c r="E35" s="34" t="str">
        <x:f>IF(B35&gt;=5,"Yes","No")</x:f>
        <x:v>Yes</x:v>
      </x:c>
      <x:c r="F35" s="34" t="n">
        <x:v>30</x:v>
      </x:c>
      <x:c r="G35" s="34" t="n">
        <x:v>39</x:v>
      </x:c>
      <x:c r="H35" s="32" t="str">
        <x:v>RSH 2025 owned-or-managed proxy</x:v>
      </x:c>
      <x:c r="I35" s="69" t="str">
        <x:v>https://www.gov.uk/government/statistics/private-registered-provider-social-housing-stock-and-rents-in-england-2024-to-2025</x:v>
      </x:c>
      <x:c r="J35" s="32" t="str"/>
    </x:row>
    <x:row r="36" ht="31" customHeight="1">
      <x:c r="A36" s="37" t="str">
        <x:v>Orbit Housing Association Limited</x:v>
      </x:c>
      <x:c r="B36" s="34" t="n">
        <x:v>7</x:v>
      </x:c>
      <x:c r="C36" s="35" t="n">
        <x:v>43152</x:v>
      </x:c>
      <x:c r="D36" s="36" t="n">
        <x:f>B36/C36*10000</x:f>
        <x:v>1.622172784575454</x:v>
      </x:c>
      <x:c r="E36" s="34" t="str">
        <x:f>IF(B36&gt;=5,"Yes","No")</x:f>
        <x:v>Yes</x:v>
      </x:c>
      <x:c r="F36" s="34" t="n">
        <x:v>30</x:v>
      </x:c>
      <x:c r="G36" s="34" t="n">
        <x:v>44</x:v>
      </x:c>
      <x:c r="H36" s="32" t="str">
        <x:v>RSH 2025 owned-or-managed proxy</x:v>
      </x:c>
      <x:c r="I36" s="69" t="str">
        <x:v>https://www.gov.uk/government/statistics/private-registered-provider-social-housing-stock-and-rents-in-england-2024-to-2025</x:v>
      </x:c>
      <x:c r="J36" s="32" t="str"/>
    </x:row>
    <x:row r="37" ht="31" customHeight="1">
      <x:c r="A37" s="37" t="str">
        <x:v>Incommunities Limited</x:v>
      </x:c>
      <x:c r="B37" s="34" t="n">
        <x:v>7</x:v>
      </x:c>
      <x:c r="C37" s="35" t="n">
        <x:v>22471</x:v>
      </x:c>
      <x:c r="D37" s="36" t="n">
        <x:f>B37/C37*10000</x:f>
        <x:v>3.1151261626095854</x:v>
      </x:c>
      <x:c r="E37" s="34" t="str">
        <x:f>IF(B37&gt;=5,"Yes","No")</x:f>
        <x:v>Yes</x:v>
      </x:c>
      <x:c r="F37" s="34" t="n">
        <x:v>30</x:v>
      </x:c>
      <x:c r="G37" s="34" t="n">
        <x:v>34</x:v>
      </x:c>
      <x:c r="H37" s="32" t="str">
        <x:v>Housing Ombudsman landlord report</x:v>
      </x:c>
      <x:c r="I37" s="69" t="str">
        <x:v>https://www.housing-ombudsman.org.uk/app/uploads/2025/09/Landlord-Report-Incommunities-Limited.pdf</x:v>
      </x:c>
      <x:c r="J37" s="32" t="str"/>
    </x:row>
    <x:row r="38" ht="31" customHeight="1">
      <x:c r="A38" s="37" t="str">
        <x:v>Poplar Housing And Regeneration Community Association Limited</x:v>
      </x:c>
      <x:c r="B38" s="34" t="n">
        <x:v>7</x:v>
      </x:c>
      <x:c r="C38" s="35" t="n">
        <x:v>10272</x:v>
      </x:c>
      <x:c r="D38" s="36" t="n">
        <x:f>B38/C38*10000</x:f>
        <x:v>6.814641744548286</x:v>
      </x:c>
      <x:c r="E38" s="34" t="str">
        <x:f>IF(B38&gt;=5,"Yes","No")</x:f>
        <x:v>Yes</x:v>
      </x:c>
      <x:c r="F38" s="34" t="n">
        <x:v>30</x:v>
      </x:c>
      <x:c r="G38" s="34" t="n">
        <x:v>13</x:v>
      </x:c>
      <x:c r="H38" s="32" t="str">
        <x:v>Housing Ombudsman landlord report</x:v>
      </x:c>
      <x:c r="I38" s="69" t="str">
        <x:v>https://www.housing-ombudsman.org.uk/app/uploads/2025/09/Landlord-Report-Poplar-Housing-And-Regeneration-Community-Association-Limited.pdf</x:v>
      </x:c>
      <x:c r="J38" s="32" t="str"/>
    </x:row>
    <x:row r="39" ht="31" customHeight="1">
      <x:c r="A39" s="37" t="str">
        <x:v>Richmond Housing Partnership Limited</x:v>
      </x:c>
      <x:c r="B39" s="34" t="n">
        <x:v>7</x:v>
      </x:c>
      <x:c r="C39" s="35" t="n">
        <x:v>9326</x:v>
      </x:c>
      <x:c r="D39" s="36" t="n">
        <x:f>B39/C39*10000</x:f>
        <x:v>7.505897490885696</x:v>
      </x:c>
      <x:c r="E39" s="34" t="str">
        <x:f>IF(B39&gt;=5,"Yes","No")</x:f>
        <x:v>Yes</x:v>
      </x:c>
      <x:c r="F39" s="34" t="n">
        <x:v>30</x:v>
      </x:c>
      <x:c r="G39" s="34" t="n">
        <x:v>10</x:v>
      </x:c>
      <x:c r="H39" s="32" t="str">
        <x:v>Housing Ombudsman landlord report</x:v>
      </x:c>
      <x:c r="I39" s="69" t="str">
        <x:v>https://www.housing-ombudsman.org.uk/app/uploads/2025/09/Landlord-Report-Richmond-Housing-Partnership-Limited.pdf</x:v>
      </x:c>
      <x:c r="J39" s="32" t="str"/>
    </x:row>
    <x:row r="40" ht="31" customHeight="1">
      <x:c r="A40" s="37" t="str">
        <x:v>Town and Country Housing</x:v>
      </x:c>
      <x:c r="B40" s="34" t="n">
        <x:v>7</x:v>
      </x:c>
      <x:c r="C40" s="35" t="n">
        <x:v>13597</x:v>
      </x:c>
      <x:c r="D40" s="36" t="n">
        <x:f>B40/C40*10000</x:f>
        <x:v>5.148194454659116</x:v>
      </x:c>
      <x:c r="E40" s="34" t="str">
        <x:f>IF(B40&gt;=5,"Yes","No")</x:f>
        <x:v>Yes</x:v>
      </x:c>
      <x:c r="F40" s="34" t="n">
        <x:v>30</x:v>
      </x:c>
      <x:c r="G40" s="34" t="n">
        <x:v>22</x:v>
      </x:c>
      <x:c r="H40" s="32" t="str">
        <x:v>Housing Ombudsman landlord report</x:v>
      </x:c>
      <x:c r="I40" s="69" t="str">
        <x:v>https://www.housing-ombudsman.org.uk/app/uploads/2025/09/Landlord-Report-Town-and-Country-Housing.pdf</x:v>
      </x:c>
      <x:c r="J40" s="32" t="str"/>
    </x:row>
    <x:row r="41" ht="31" customHeight="1">
      <x:c r="A41" s="37" t="str">
        <x:v>Gentoo Group Limited</x:v>
      </x:c>
      <x:c r="B41" s="34" t="n">
        <x:v>6</x:v>
      </x:c>
      <x:c r="C41" s="35" t="n">
        <x:v>29649</x:v>
      </x:c>
      <x:c r="D41" s="36" t="n">
        <x:f>B41/C41*10000</x:f>
        <x:v>2.023677021147425</x:v>
      </x:c>
      <x:c r="E41" s="34" t="str">
        <x:f>IF(B41&gt;=5,"Yes","No")</x:f>
        <x:v>Yes</x:v>
      </x:c>
      <x:c r="F41" s="34" t="n">
        <x:v>37</x:v>
      </x:c>
      <x:c r="G41" s="34" t="n">
        <x:v>41</x:v>
      </x:c>
      <x:c r="H41" s="32" t="str">
        <x:v>Housing Ombudsman landlord report</x:v>
      </x:c>
      <x:c r="I41" s="69" t="str">
        <x:v>https://www.housing-ombudsman.org.uk/app/uploads/2025/09/Landlord-Report-Gentoo-Group-Limited.pdf</x:v>
      </x:c>
      <x:c r="J41" s="32" t="str"/>
    </x:row>
    <x:row r="42" ht="31" customHeight="1">
      <x:c r="A42" s="37" t="str">
        <x:v>Origin Housing Limited</x:v>
      </x:c>
      <x:c r="B42" s="34" t="n">
        <x:v>6</x:v>
      </x:c>
      <x:c r="C42" s="35" t="n">
        <x:v>7150</x:v>
      </x:c>
      <x:c r="D42" s="36" t="n">
        <x:f>B42/C42*10000</x:f>
        <x:v>8.391608391608392</x:v>
      </x:c>
      <x:c r="E42" s="34" t="str">
        <x:f>IF(B42&gt;=5,"Yes","No")</x:f>
        <x:v>Yes</x:v>
      </x:c>
      <x:c r="F42" s="34" t="n">
        <x:v>37</x:v>
      </x:c>
      <x:c r="G42" s="34" t="n">
        <x:v>8</x:v>
      </x:c>
      <x:c r="H42" s="32" t="str">
        <x:v>Housing Ombudsman landlord report</x:v>
      </x:c>
      <x:c r="I42" s="69" t="str">
        <x:v>https://www.housing-ombudsman.org.uk/app/uploads/2025/09/Landlord-Report-Origin-Housing-Limited.pdf</x:v>
      </x:c>
      <x:c r="J42" s="32" t="str"/>
    </x:row>
    <x:row r="43" ht="31" customHeight="1">
      <x:c r="A43" s="37" t="str">
        <x:v>One Manchester Limited</x:v>
      </x:c>
      <x:c r="B43" s="34" t="n">
        <x:v>6</x:v>
      </x:c>
      <x:c r="C43" s="35" t="n">
        <x:v>12972</x:v>
      </x:c>
      <x:c r="D43" s="36" t="n">
        <x:f>B43/C43*10000</x:f>
        <x:v>4.6253469010175765</x:v>
      </x:c>
      <x:c r="E43" s="34" t="str">
        <x:f>IF(B43&gt;=5,"Yes","No")</x:f>
        <x:v>Yes</x:v>
      </x:c>
      <x:c r="F43" s="34" t="n">
        <x:v>37</x:v>
      </x:c>
      <x:c r="G43" s="34" t="n">
        <x:v>25</x:v>
      </x:c>
      <x:c r="H43" s="32" t="str">
        <x:v>Housing Ombudsman landlord report</x:v>
      </x:c>
      <x:c r="I43" s="69" t="str">
        <x:v>https://www.housing-ombudsman.org.uk/app/uploads/2025/09/Landlord-Report-One-Manchester-Limited.pdf</x:v>
      </x:c>
      <x:c r="J43" s="32" t="str"/>
    </x:row>
    <x:row r="44" ht="31" customHeight="1">
      <x:c r="A44" s="37" t="str">
        <x:v>Vivid Housing Limited</x:v>
      </x:c>
      <x:c r="B44" s="34" t="n">
        <x:v>6</x:v>
      </x:c>
      <x:c r="C44" s="35" t="n">
        <x:v>35196</x:v>
      </x:c>
      <x:c r="D44" s="36" t="n">
        <x:f>B44/C44*10000</x:f>
        <x:v>1.7047391749062393</x:v>
      </x:c>
      <x:c r="E44" s="34" t="str">
        <x:f>IF(B44&gt;=5,"Yes","No")</x:f>
        <x:v>Yes</x:v>
      </x:c>
      <x:c r="F44" s="34" t="n">
        <x:v>37</x:v>
      </x:c>
      <x:c r="G44" s="34" t="n">
        <x:v>43</x:v>
      </x:c>
      <x:c r="H44" s="32" t="str">
        <x:v>Housing Ombudsman landlord report</x:v>
      </x:c>
      <x:c r="I44" s="69" t="str">
        <x:v>https://www.housing-ombudsman.org.uk/app/uploads/2025/09/Landlord-Report-Vivid-Housing-Limited.pdf</x:v>
      </x:c>
      <x:c r="J44" s="32" t="str"/>
    </x:row>
    <x:row r="45" ht="31" customHeight="1">
      <x:c r="A45" s="37" t="str">
        <x:v>Curo Places Limited</x:v>
      </x:c>
      <x:c r="B45" s="34" t="n">
        <x:v>6</x:v>
      </x:c>
      <x:c r="C45" s="35" t="n">
        <x:v>14009</x:v>
      </x:c>
      <x:c r="D45" s="36" t="n">
        <x:f>B45/C45*10000</x:f>
        <x:v>4.282960953672639</x:v>
      </x:c>
      <x:c r="E45" s="34" t="str">
        <x:f>IF(B45&gt;=5,"Yes","No")</x:f>
        <x:v>Yes</x:v>
      </x:c>
      <x:c r="F45" s="34" t="n">
        <x:v>37</x:v>
      </x:c>
      <x:c r="G45" s="34" t="n">
        <x:v>27</x:v>
      </x:c>
      <x:c r="H45" s="32" t="str">
        <x:v>Housing Ombudsman landlord report</x:v>
      </x:c>
      <x:c r="I45" s="69" t="str">
        <x:v>https://www.housing-ombudsman.org.uk/app/uploads/2025/09/Landlord-Report-Curo-Places-Limited.pdf</x:v>
      </x:c>
      <x:c r="J45" s="32" t="str"/>
    </x:row>
    <x:row r="46" ht="31" customHeight="1">
      <x:c r="A46" s="37" t="str">
        <x:v>ForHousing Limited</x:v>
      </x:c>
      <x:c r="B46" s="34" t="n">
        <x:v>6</x:v>
      </x:c>
      <x:c r="C46" s="35" t="n">
        <x:v>18990</x:v>
      </x:c>
      <x:c r="D46" s="36" t="n">
        <x:f>B46/C46*10000</x:f>
        <x:v>3.15955766192733</x:v>
      </x:c>
      <x:c r="E46" s="34" t="str">
        <x:f>IF(B46&gt;=5,"Yes","No")</x:f>
        <x:v>Yes</x:v>
      </x:c>
      <x:c r="F46" s="34" t="n">
        <x:v>37</x:v>
      </x:c>
      <x:c r="G46" s="34" t="n">
        <x:v>33</x:v>
      </x:c>
      <x:c r="H46" s="32" t="str">
        <x:v>Housing Ombudsman landlord report</x:v>
      </x:c>
      <x:c r="I46" s="69" t="str">
        <x:v>https://www.housing-ombudsman.org.uk/app/uploads/2025/09/Landlord-Report-ForHousing-Limited.pdf</x:v>
      </x:c>
      <x:c r="J46" s="32" t="str"/>
    </x:row>
    <x:row r="47" ht="31" customHeight="1">
      <x:c r="A47" s="37" t="str">
        <x:v>Yorkshire Housing Limited</x:v>
      </x:c>
      <x:c r="B47" s="34" t="n">
        <x:v>5</x:v>
      </x:c>
      <x:c r="C47" s="35" t="n">
        <x:v>19309</x:v>
      </x:c>
      <x:c r="D47" s="36" t="n">
        <x:f>B47/C47*10000</x:f>
        <x:v>2.5894660521000565</x:v>
      </x:c>
      <x:c r="E47" s="34" t="str">
        <x:f>IF(B47&gt;=5,"Yes","No")</x:f>
        <x:v>Yes</x:v>
      </x:c>
      <x:c r="F47" s="34" t="n">
        <x:v>43</x:v>
      </x:c>
      <x:c r="G47" s="34" t="n">
        <x:v>36</x:v>
      </x:c>
      <x:c r="H47" s="32" t="str">
        <x:v>Housing Ombudsman landlord report</x:v>
      </x:c>
      <x:c r="I47" s="69" t="str">
        <x:v>https://www.housing-ombudsman.org.uk/app/uploads/2025/09/Landlord-Report-Yorkshire-Housing-Limited.pdf</x:v>
      </x:c>
      <x:c r="J47" s="32" t="str"/>
    </x:row>
    <x:row r="48" ht="31" customHeight="1">
      <x:c r="A48" s="37" t="str">
        <x:v>Thirteen Housing Group Limited</x:v>
      </x:c>
      <x:c r="B48" s="34" t="n">
        <x:v>5</x:v>
      </x:c>
      <x:c r="C48" s="35" t="n">
        <x:v>35979</x:v>
      </x:c>
      <x:c r="D48" s="36" t="n">
        <x:f>B48/C48*10000</x:f>
        <x:v>1.3896995469579476</x:v>
      </x:c>
      <x:c r="E48" s="34" t="str">
        <x:f>IF(B48&gt;=5,"Yes","No")</x:f>
        <x:v>Yes</x:v>
      </x:c>
      <x:c r="F48" s="34" t="n">
        <x:v>43</x:v>
      </x:c>
      <x:c r="G48" s="34" t="n">
        <x:v>45</x:v>
      </x:c>
      <x:c r="H48" s="32" t="str">
        <x:v>Housing Ombudsman landlord report</x:v>
      </x:c>
      <x:c r="I48" s="69" t="str">
        <x:v>https://www.housing-ombudsman.org.uk/app/uploads/2025/09/Landlord-Report-Thirteen-Housing-Group-Limited.pdf</x:v>
      </x:c>
      <x:c r="J48" s="32" t="str"/>
    </x:row>
    <x:row r="49" ht="31" customHeight="1">
      <x:c r="A49" s="37" t="str">
        <x:v>Ongo Homes Limited</x:v>
      </x:c>
      <x:c r="B49" s="34" t="n">
        <x:v>5</x:v>
      </x:c>
      <x:c r="C49" s="35" t="n">
        <x:v>11545</x:v>
      </x:c>
      <x:c r="D49" s="36" t="n">
        <x:f>B49/C49*10000</x:f>
        <x:v>4.330879168471199</x:v>
      </x:c>
      <x:c r="E49" s="34" t="str">
        <x:f>IF(B49&gt;=5,"Yes","No")</x:f>
        <x:v>Yes</x:v>
      </x:c>
      <x:c r="F49" s="34" t="n">
        <x:v>43</x:v>
      </x:c>
      <x:c r="G49" s="34" t="n">
        <x:v>26</x:v>
      </x:c>
      <x:c r="H49" s="32" t="str">
        <x:v>Housing Ombudsman landlord report</x:v>
      </x:c>
      <x:c r="I49" s="69" t="str">
        <x:v>https://www.housing-ombudsman.org.uk/app/uploads/2025/09/Landlord-Report-Ongo-Homes-Limited.pdf</x:v>
      </x:c>
      <x:c r="J49" s="32" t="str"/>
    </x:row>
    <x:row r="50" ht="31" customHeight="1">
      <x:c r="A50" s="37" t="str">
        <x:v>Raven Housing Trust Limited</x:v>
      </x:c>
      <x:c r="B50" s="34" t="n">
        <x:v>4</x:v>
      </x:c>
      <x:c r="C50" s="35" t="n">
        <x:v>7155</x:v>
      </x:c>
      <x:c r="D50" s="36" t="n">
        <x:f>B50/C50*10000</x:f>
        <x:v>5.590496156533892</x:v>
      </x:c>
      <x:c r="E50" s="34" t="str">
        <x:f>IF(B50&gt;=5,"Yes","No")</x:f>
        <x:v>No</x:v>
      </x:c>
      <x:c r="F50" s="34" t="n">
        <x:v>46</x:v>
      </x:c>
      <x:c r="G50" s="34"/>
      <x:c r="H50" s="32" t="str">
        <x:v>Housing Ombudsman landlord report</x:v>
      </x:c>
      <x:c r="I50" s="69" t="str">
        <x:v>https://www.housing-ombudsman.org.uk/app/uploads/2025/09/Landlord-Report-Raven-Housing-Trust-Limited.pdf</x:v>
      </x:c>
      <x:c r="J50" s="32" t="str"/>
    </x:row>
    <x:row r="51" ht="31" customHeight="1">
      <x:c r="A51" s="37" t="str">
        <x:v>Accent Housing Limited</x:v>
      </x:c>
      <x:c r="B51" s="34" t="n">
        <x:v>4</x:v>
      </x:c>
      <x:c r="C51" s="35" t="n">
        <x:v>20777</x:v>
      </x:c>
      <x:c r="D51" s="36" t="n">
        <x:f>B51/C51*10000</x:f>
        <x:v>1.9252057563652114</x:v>
      </x:c>
      <x:c r="E51" s="34" t="str">
        <x:f>IF(B51&gt;=5,"Yes","No")</x:f>
        <x:v>No</x:v>
      </x:c>
      <x:c r="F51" s="34" t="n">
        <x:v>46</x:v>
      </x:c>
      <x:c r="G51" s="34"/>
      <x:c r="H51" s="32" t="str">
        <x:v>Housing Ombudsman landlord report</x:v>
      </x:c>
      <x:c r="I51" s="69" t="str">
        <x:v>https://www.housing-ombudsman.org.uk/app/uploads/2025/09/Landlord-Report-Accent-Group-Limited.pdf</x:v>
      </x:c>
      <x:c r="J51" s="32" t="str"/>
    </x:row>
    <x:row r="52" ht="31" customHeight="1">
      <x:c r="A52" s="37" t="str">
        <x:v>Soha Housing Limited</x:v>
      </x:c>
      <x:c r="B52" s="34" t="n">
        <x:v>4</x:v>
      </x:c>
      <x:c r="C52" s="35" t="n">
        <x:v>7929</x:v>
      </x:c>
      <x:c r="D52" s="36" t="n">
        <x:f>B52/C52*10000</x:f>
        <x:v>5.044772354647496</x:v>
      </x:c>
      <x:c r="E52" s="34" t="str">
        <x:f>IF(B52&gt;=5,"Yes","No")</x:f>
        <x:v>No</x:v>
      </x:c>
      <x:c r="F52" s="34" t="n">
        <x:v>46</x:v>
      </x:c>
      <x:c r="G52" s="34"/>
      <x:c r="H52" s="32" t="str">
        <x:v>Housing Ombudsman landlord report</x:v>
      </x:c>
      <x:c r="I52" s="69" t="str">
        <x:v>https://www.housing-ombudsman.org.uk/app/uploads/2025/09/Landlord-Report-Soha-Housing-Limited.pdf</x:v>
      </x:c>
      <x:c r="J52" s="32" t="str"/>
    </x:row>
    <x:row r="53" ht="31" customHeight="1">
      <x:c r="A53" s="37" t="str">
        <x:v>Salix Homes Limited</x:v>
      </x:c>
      <x:c r="B53" s="34" t="n">
        <x:v>4</x:v>
      </x:c>
      <x:c r="C53" s="35" t="n">
        <x:v>8515</x:v>
      </x:c>
      <x:c r="D53" s="36" t="n">
        <x:f>B53/C53*10000</x:f>
        <x:v>4.697592483852026</x:v>
      </x:c>
      <x:c r="E53" s="34" t="str">
        <x:f>IF(B53&gt;=5,"Yes","No")</x:f>
        <x:v>No</x:v>
      </x:c>
      <x:c r="F53" s="34" t="n">
        <x:v>46</x:v>
      </x:c>
      <x:c r="G53" s="34"/>
      <x:c r="H53" s="32" t="str">
        <x:v>Housing Ombudsman landlord report</x:v>
      </x:c>
      <x:c r="I53" s="69" t="str">
        <x:v>https://www.housing-ombudsman.org.uk/app/uploads/2025/09/Landlord-Report-Salix-Homes-Limited.pdf</x:v>
      </x:c>
      <x:c r="J53" s="32" t="str"/>
    </x:row>
    <x:row r="54" ht="31" customHeight="1">
      <x:c r="A54" s="37" t="str">
        <x:v>Anchor Hanover Group</x:v>
      </x:c>
      <x:c r="B54" s="34" t="n">
        <x:v>4</x:v>
      </x:c>
      <x:c r="C54" s="35" t="n">
        <x:v>51378</x:v>
      </x:c>
      <x:c r="D54" s="36" t="n">
        <x:f>B54/C54*10000</x:f>
        <x:v>0.7785433454007552</x:v>
      </x:c>
      <x:c r="E54" s="34" t="str">
        <x:f>IF(B54&gt;=5,"Yes","No")</x:f>
        <x:v>No</x:v>
      </x:c>
      <x:c r="F54" s="34" t="n">
        <x:v>46</x:v>
      </x:c>
      <x:c r="G54" s="34"/>
      <x:c r="H54" s="32" t="str">
        <x:v>Housing Ombudsman landlord report</x:v>
      </x:c>
      <x:c r="I54" s="69" t="str">
        <x:v>https://www.housing-ombudsman.org.uk/app/uploads/2025/09/Landlord-Report-Anchor-Hanover-Group.pdf</x:v>
      </x:c>
      <x:c r="J54" s="32" t="str"/>
    </x:row>
    <x:row r="55" ht="31" customHeight="1">
      <x:c r="A55" s="37" t="str">
        <x:v>Together Housing Association Limited</x:v>
      </x:c>
      <x:c r="B55" s="34" t="n">
        <x:v>4</x:v>
      </x:c>
      <x:c r="C55" s="35" t="n">
        <x:v>39071</x:v>
      </x:c>
      <x:c r="D55" s="36" t="n">
        <x:f>B55/C55*10000</x:f>
        <x:v>1.023777226075606</x:v>
      </x:c>
      <x:c r="E55" s="34" t="str">
        <x:f>IF(B55&gt;=5,"Yes","No")</x:f>
        <x:v>No</x:v>
      </x:c>
      <x:c r="F55" s="34" t="n">
        <x:v>46</x:v>
      </x:c>
      <x:c r="G55" s="34"/>
      <x:c r="H55" s="32" t="str">
        <x:v>Housing Ombudsman landlord report</x:v>
      </x:c>
      <x:c r="I55" s="69" t="str">
        <x:v>https://www.housing-ombudsman.org.uk/app/uploads/2025/09/Landlord-Report-Together-Housing-Association-Limited.pdf</x:v>
      </x:c>
      <x:c r="J55" s="32" t="str"/>
    </x:row>
    <x:row r="56" ht="31" customHeight="1">
      <x:c r="A56" s="37" t="str">
        <x:v>Karbon Homes Limited</x:v>
      </x:c>
      <x:c r="B56" s="34" t="n">
        <x:v>4</x:v>
      </x:c>
      <x:c r="C56" s="35" t="n">
        <x:v>29680</x:v>
      </x:c>
      <x:c r="D56" s="36" t="n">
        <x:f>B56/C56*10000</x:f>
        <x:v>1.3477088948787064</x:v>
      </x:c>
      <x:c r="E56" s="34" t="str">
        <x:f>IF(B56&gt;=5,"Yes","No")</x:f>
        <x:v>No</x:v>
      </x:c>
      <x:c r="F56" s="34" t="n">
        <x:v>46</x:v>
      </x:c>
      <x:c r="G56" s="34"/>
      <x:c r="H56" s="32" t="str">
        <x:v>Housing Ombudsman landlord report</x:v>
      </x:c>
      <x:c r="I56" s="69" t="str">
        <x:v>https://www.housing-ombudsman.org.uk/app/uploads/2025/09/Landlord-Report-Karbon-Homes-Limited.pdf</x:v>
      </x:c>
      <x:c r="J56" s="32" t="str"/>
    </x:row>
    <x:row r="57" ht="31" customHeight="1">
      <x:c r="A57" s="37" t="str">
        <x:v>Thrive Homes Limited</x:v>
      </x:c>
      <x:c r="B57" s="34" t="n">
        <x:v>4</x:v>
      </x:c>
      <x:c r="C57" s="35" t="n">
        <x:v>5555</x:v>
      </x:c>
      <x:c r="D57" s="36" t="n">
        <x:f>B57/C57*10000</x:f>
        <x:v>7.200720072007201</x:v>
      </x:c>
      <x:c r="E57" s="34" t="str">
        <x:f>IF(B57&gt;=5,"Yes","No")</x:f>
        <x:v>No</x:v>
      </x:c>
      <x:c r="F57" s="34" t="n">
        <x:v>46</x:v>
      </x:c>
      <x:c r="G57" s="34"/>
      <x:c r="H57" s="32" t="str">
        <x:v>Housing Ombudsman landlord report</x:v>
      </x:c>
      <x:c r="I57" s="69" t="str">
        <x:v>https://www.housing-ombudsman.org.uk/app/uploads/2025/09/Landlord-Report-Thrive-Homes-Limited.pdf</x:v>
      </x:c>
      <x:c r="J57" s="32" t="str"/>
    </x:row>
    <x:row r="58" ht="31" customHeight="1">
      <x:c r="A58" s="37" t="str">
        <x:v>Bromford Flagship LiveWest Limited</x:v>
      </x:c>
      <x:c r="B58" s="34" t="n">
        <x:v>4</x:v>
      </x:c>
      <x:c r="C58" s="35" t="n">
        <x:v>81481</x:v>
      </x:c>
      <x:c r="D58" s="36" t="n">
        <x:f>B58/C58*10000</x:f>
        <x:v>0.4909119917526785</x:v>
      </x:c>
      <x:c r="E58" s="34" t="str">
        <x:f>IF(B58&gt;=5,"Yes","No")</x:f>
        <x:v>No</x:v>
      </x:c>
      <x:c r="F58" s="34" t="n">
        <x:v>46</x:v>
      </x:c>
      <x:c r="G58" s="34"/>
      <x:c r="H58" s="32" t="str">
        <x:v>RSH 2025 predecessor group proxy</x:v>
      </x:c>
      <x:c r="I58" s="69" t="str">
        <x:v>https://www.gov.uk/government/statistics/private-registered-provider-social-housing-stock-and-rents-in-england-2024-to-2025</x:v>
      </x:c>
      <x:c r="J58" s="32" t="str">
        <x:v>The current name post-dates the RSH return. Uses Bromford Flagship's 31 March 2025 group stock and excludes the separately listed LiveWest portfolio.</x:v>
      </x:c>
    </x:row>
    <x:row r="59" ht="31" customHeight="1">
      <x:c r="A59" s="37" t="str">
        <x:v>Wandle Housing Association Limited</x:v>
      </x:c>
      <x:c r="B59" s="34" t="n">
        <x:v>4</x:v>
      </x:c>
      <x:c r="C59" s="35" t="n">
        <x:v>7408</x:v>
      </x:c>
      <x:c r="D59" s="36" t="n">
        <x:f>B59/C59*10000</x:f>
        <x:v>5.399568034557236</x:v>
      </x:c>
      <x:c r="E59" s="34" t="str">
        <x:f>IF(B59&gt;=5,"Yes","No")</x:f>
        <x:v>No</x:v>
      </x:c>
      <x:c r="F59" s="34" t="n">
        <x:v>46</x:v>
      </x:c>
      <x:c r="G59" s="34"/>
      <x:c r="H59" s="32" t="str">
        <x:v>Housing Ombudsman landlord report</x:v>
      </x:c>
      <x:c r="I59" s="69" t="str">
        <x:v>https://www.housing-ombudsman.org.uk/app/uploads/2025/09/Landlord-Report-Wandle-Housing-Association-Limited.pdf</x:v>
      </x:c>
      <x:c r="J59" s="32" t="str"/>
    </x:row>
    <x:row r="60" ht="31" customHeight="1">
      <x:c r="A60" s="37" t="str">
        <x:v>Irwell Valley Housing Association Limited</x:v>
      </x:c>
      <x:c r="B60" s="34" t="n">
        <x:v>4</x:v>
      </x:c>
      <x:c r="C60" s="35" t="n">
        <x:v>7740</x:v>
      </x:c>
      <x:c r="D60" s="36" t="n">
        <x:f>B60/C60*10000</x:f>
        <x:v>5.167958656330749</x:v>
      </x:c>
      <x:c r="E60" s="34" t="str">
        <x:f>IF(B60&gt;=5,"Yes","No")</x:f>
        <x:v>No</x:v>
      </x:c>
      <x:c r="F60" s="34" t="n">
        <x:v>46</x:v>
      </x:c>
      <x:c r="G60" s="34"/>
      <x:c r="H60" s="32" t="str">
        <x:v>Housing Ombudsman landlord report</x:v>
      </x:c>
      <x:c r="I60" s="69" t="str">
        <x:v>https://www.housing-ombudsman.org.uk/app/uploads/2025/09/Landlord-Report-Irwell-Valley-Housing-Association-Limited.pdf</x:v>
      </x:c>
      <x:c r="J60" s="32" t="str"/>
    </x:row>
    <x:row r="61" ht="31" customHeight="1">
      <x:c r="A61" s="37" t="str">
        <x:v>Platform Housing Group Limited</x:v>
      </x:c>
      <x:c r="B61" s="34" t="n">
        <x:v>4</x:v>
      </x:c>
      <x:c r="C61" s="35" t="n">
        <x:v>49180</x:v>
      </x:c>
      <x:c r="D61" s="36" t="n">
        <x:f>B61/C61*10000</x:f>
        <x:v>0.8133387555917039</x:v>
      </x:c>
      <x:c r="E61" s="34" t="str">
        <x:f>IF(B61&gt;=5,"Yes","No")</x:f>
        <x:v>No</x:v>
      </x:c>
      <x:c r="F61" s="34" t="n">
        <x:v>46</x:v>
      </x:c>
      <x:c r="G61" s="34"/>
      <x:c r="H61" s="32" t="str">
        <x:v>Housing Ombudsman landlord report</x:v>
      </x:c>
      <x:c r="I61" s="69" t="str">
        <x:v>https://www.housing-ombudsman.org.uk/app/uploads/2025/09/Landlord-Report-Platform-Housing-Limited.pdf</x:v>
      </x:c>
      <x:c r="J61" s="32" t="str"/>
    </x:row>
    <x:row r="62" ht="31" customHeight="1">
      <x:c r="A62" s="37" t="str">
        <x:v>Paradigm Housing Group Limited</x:v>
      </x:c>
      <x:c r="B62" s="34" t="n">
        <x:v>4</x:v>
      </x:c>
      <x:c r="C62" s="35" t="n">
        <x:v>16493</x:v>
      </x:c>
      <x:c r="D62" s="36" t="n">
        <x:f>B62/C62*10000</x:f>
        <x:v>2.425271327229734</x:v>
      </x:c>
      <x:c r="E62" s="34" t="str">
        <x:f>IF(B62&gt;=5,"Yes","No")</x:f>
        <x:v>No</x:v>
      </x:c>
      <x:c r="F62" s="34" t="n">
        <x:v>46</x:v>
      </x:c>
      <x:c r="G62" s="34"/>
      <x:c r="H62" s="32" t="str">
        <x:v>Housing Ombudsman landlord report</x:v>
      </x:c>
      <x:c r="I62" s="69" t="str">
        <x:v>https://www.housing-ombudsman.org.uk/app/uploads/2025/09/Landlord-Report-Paradigm-Housing-Group-Limited.pdf</x:v>
      </x:c>
      <x:c r="J62" s="32" t="str"/>
    </x:row>
    <x:row r="63" ht="31" customHeight="1">
      <x:c r="A63" s="37" t="str">
        <x:v>Jigsaw Homes Group Limited</x:v>
      </x:c>
      <x:c r="B63" s="34" t="n">
        <x:v>4</x:v>
      </x:c>
      <x:c r="C63" s="35" t="n">
        <x:v>35861</x:v>
      </x:c>
      <x:c r="D63" s="36" t="n">
        <x:f>B63/C63*10000</x:f>
        <x:v>1.1154178634170826</x:v>
      </x:c>
      <x:c r="E63" s="34" t="str">
        <x:f>IF(B63&gt;=5,"Yes","No")</x:f>
        <x:v>No</x:v>
      </x:c>
      <x:c r="F63" s="34" t="n">
        <x:v>46</x:v>
      </x:c>
      <x:c r="G63" s="34"/>
      <x:c r="H63" s="32" t="str">
        <x:v>Housing Ombudsman landlord report</x:v>
      </x:c>
      <x:c r="I63" s="69" t="str">
        <x:v>https://www.housing-ombudsman.org.uk/app/uploads/2025/09/Landlord-Report-Jigsaw-Homes-Group-Limited.pdf</x:v>
      </x:c>
      <x:c r="J63" s="32" t="str"/>
    </x:row>
    <x:row r="64" ht="31" customHeight="1">
      <x:c r="A64" s="37" t="str">
        <x:v>First Choice Homes Oldham Limited</x:v>
      </x:c>
      <x:c r="B64" s="34" t="n">
        <x:v>3</x:v>
      </x:c>
      <x:c r="C64" s="35" t="n">
        <x:v>12112</x:v>
      </x:c>
      <x:c r="D64" s="36" t="n">
        <x:f>B64/C64*10000</x:f>
        <x:v>2.476882430647292</x:v>
      </x:c>
      <x:c r="E64" s="34" t="str">
        <x:f>IF(B64&gt;=5,"Yes","No")</x:f>
        <x:v>No</x:v>
      </x:c>
      <x:c r="F64" s="34" t="n">
        <x:v>60</x:v>
      </x:c>
      <x:c r="G64" s="34"/>
      <x:c r="H64" s="32" t="str">
        <x:v>Housing Ombudsman landlord report</x:v>
      </x:c>
      <x:c r="I64" s="69" t="str">
        <x:v>https://www.housing-ombudsman.org.uk/app/uploads/2025/09/Landlord-Report-First-Choice-Homes-Oldham-Limited.pdf</x:v>
      </x:c>
      <x:c r="J64" s="32" t="str"/>
    </x:row>
    <x:row r="65" ht="31" customHeight="1">
      <x:c r="A65" s="37" t="str">
        <x:v>Great Places Housing Group Limited</x:v>
      </x:c>
      <x:c r="B65" s="34" t="n">
        <x:v>3</x:v>
      </x:c>
      <x:c r="C65" s="35" t="n">
        <x:v>22975</x:v>
      </x:c>
      <x:c r="D65" s="36" t="n">
        <x:f>B65/C65*10000</x:f>
        <x:v>1.3057671381936888</x:v>
      </x:c>
      <x:c r="E65" s="34" t="str">
        <x:f>IF(B65&gt;=5,"Yes","No")</x:f>
        <x:v>No</x:v>
      </x:c>
      <x:c r="F65" s="34" t="n">
        <x:v>60</x:v>
      </x:c>
      <x:c r="G65" s="34"/>
      <x:c r="H65" s="32" t="str">
        <x:v>Housing Ombudsman landlord report</x:v>
      </x:c>
      <x:c r="I65" s="69" t="str">
        <x:v>https://www.housing-ombudsman.org.uk/app/uploads/2025/09/Landlord-Report-Great-Places-Housing-Group-Limited.pdf</x:v>
      </x:c>
      <x:c r="J65" s="32" t="str"/>
    </x:row>
    <x:row r="66" ht="31" customHeight="1">
      <x:c r="A66" s="37" t="str">
        <x:v>Be One Homes</x:v>
      </x:c>
      <x:c r="B66" s="34" t="n">
        <x:v>3</x:v>
      </x:c>
      <x:c r="C66" s="35" t="n">
        <x:v>19438</x:v>
      </x:c>
      <x:c r="D66" s="36" t="n">
        <x:f>B66/C66*10000</x:f>
        <x:v>1.5433686593270912</x:v>
      </x:c>
      <x:c r="E66" s="34" t="str">
        <x:f>IF(B66&gt;=5,"Yes","No")</x:f>
        <x:v>No</x:v>
      </x:c>
      <x:c r="F66" s="34" t="n">
        <x:v>60</x:v>
      </x:c>
      <x:c r="G66" s="34"/>
      <x:c r="H66" s="32" t="str">
        <x:v>Housing Ombudsman landlord report</x:v>
      </x:c>
      <x:c r="I66" s="69" t="str">
        <x:v>https://www.housing-ombudsman.org.uk/app/uploads/2025/09/Landlord-Report-Bolton-at-Home-Limited.pdf</x:v>
      </x:c>
      <x:c r="J66" s="32" t="str"/>
    </x:row>
    <x:row r="67" ht="31" customHeight="1">
      <x:c r="A67" s="37" t="str">
        <x:v>bpha Limited</x:v>
      </x:c>
      <x:c r="B67" s="34" t="n">
        <x:v>3</x:v>
      </x:c>
      <x:c r="C67" s="35" t="n">
        <x:v>18312</x:v>
      </x:c>
      <x:c r="D67" s="36" t="n">
        <x:f>B67/C67*10000</x:f>
        <x:v>1.6382699868938402</x:v>
      </x:c>
      <x:c r="E67" s="34" t="str">
        <x:f>IF(B67&gt;=5,"Yes","No")</x:f>
        <x:v>No</x:v>
      </x:c>
      <x:c r="F67" s="34" t="n">
        <x:v>60</x:v>
      </x:c>
      <x:c r="G67" s="34"/>
      <x:c r="H67" s="32" t="str">
        <x:v>Housing Ombudsman landlord report</x:v>
      </x:c>
      <x:c r="I67" s="69" t="str">
        <x:v>https://www.housing-ombudsman.org.uk/app/uploads/2025/09/Landlord-Report-bpha-Limited.pdf</x:v>
      </x:c>
      <x:c r="J67" s="32" t="str"/>
    </x:row>
    <x:row r="68" ht="31" customHeight="1">
      <x:c r="A68" s="37" t="str">
        <x:v>Red Kite Community Housing Limited</x:v>
      </x:c>
      <x:c r="B68" s="34" t="n">
        <x:v>3</x:v>
      </x:c>
      <x:c r="C68" s="35" t="n">
        <x:v>6439</x:v>
      </x:c>
      <x:c r="D68" s="36" t="n">
        <x:f>B68/C68*10000</x:f>
        <x:v>4.659108557229383</x:v>
      </x:c>
      <x:c r="E68" s="34" t="str">
        <x:f>IF(B68&gt;=5,"Yes","No")</x:f>
        <x:v>No</x:v>
      </x:c>
      <x:c r="F68" s="34" t="n">
        <x:v>60</x:v>
      </x:c>
      <x:c r="G68" s="34"/>
      <x:c r="H68" s="32" t="str">
        <x:v>Housing Ombudsman landlord report</x:v>
      </x:c>
      <x:c r="I68" s="69" t="str">
        <x:v>https://www.housing-ombudsman.org.uk/app/uploads/2025/09/Landlord-Report-Red-Kite-Community-Housing-Limited.pdf</x:v>
      </x:c>
      <x:c r="J68" s="32" t="str"/>
    </x:row>
    <x:row r="69" ht="31" customHeight="1">
      <x:c r="A69" s="37" t="str">
        <x:v>Watford Community Housing Trust</x:v>
      </x:c>
      <x:c r="B69" s="34" t="n">
        <x:v>3</x:v>
      </x:c>
      <x:c r="C69" s="35" t="n">
        <x:v>5834</x:v>
      </x:c>
      <x:c r="D69" s="36" t="n">
        <x:f>B69/C69*10000</x:f>
        <x:v>5.142269454919438</x:v>
      </x:c>
      <x:c r="E69" s="34" t="str">
        <x:f>IF(B69&gt;=5,"Yes","No")</x:f>
        <x:v>No</x:v>
      </x:c>
      <x:c r="F69" s="34" t="n">
        <x:v>60</x:v>
      </x:c>
      <x:c r="G69" s="34"/>
      <x:c r="H69" s="32" t="str">
        <x:v>Housing Ombudsman landlord report</x:v>
      </x:c>
      <x:c r="I69" s="69" t="str">
        <x:v>https://www.housing-ombudsman.org.uk/app/uploads/2025/09/Landlord-Report-Watford-Community-Housing-Trust.pdf</x:v>
      </x:c>
      <x:c r="J69" s="32" t="str"/>
    </x:row>
    <x:row r="70" ht="31" customHeight="1">
      <x:c r="A70" s="37" t="str">
        <x:v>Rochdale Boroughwide Housing Limited</x:v>
      </x:c>
      <x:c r="B70" s="34" t="n">
        <x:v>3</x:v>
      </x:c>
      <x:c r="C70" s="35" t="n">
        <x:v>12994</x:v>
      </x:c>
      <x:c r="D70" s="36" t="n">
        <x:f>B70/C70*10000</x:f>
        <x:v>2.3087578882561184</x:v>
      </x:c>
      <x:c r="E70" s="34" t="str">
        <x:f>IF(B70&gt;=5,"Yes","No")</x:f>
        <x:v>No</x:v>
      </x:c>
      <x:c r="F70" s="34" t="n">
        <x:v>60</x:v>
      </x:c>
      <x:c r="G70" s="34"/>
      <x:c r="H70" s="32" t="str">
        <x:v>Housing Ombudsman landlord report</x:v>
      </x:c>
      <x:c r="I70" s="69" t="str">
        <x:v>https://www.housing-ombudsman.org.uk/app/uploads/2025/09/Landlord-Report-Rochdale-Boroughwide-Housing-Limited.pdf</x:v>
      </x:c>
      <x:c r="J70" s="32" t="str"/>
    </x:row>
    <x:row r="71" ht="31" customHeight="1">
      <x:c r="A71" s="37" t="str">
        <x:v>Delta Housing Limited</x:v>
      </x:c>
      <x:c r="B71" s="34" t="n">
        <x:v>3</x:v>
      </x:c>
      <x:c r="C71" s="35" t="n">
        <x:v>10914</x:v>
      </x:c>
      <x:c r="D71" s="36" t="n">
        <x:f>B71/C71*10000</x:f>
        <x:v>2.748763056624519</x:v>
      </x:c>
      <x:c r="E71" s="34" t="str">
        <x:f>IF(B71&gt;=5,"Yes","No")</x:f>
        <x:v>No</x:v>
      </x:c>
      <x:c r="F71" s="34" t="n">
        <x:v>60</x:v>
      </x:c>
      <x:c r="G71" s="34"/>
      <x:c r="H71" s="32" t="str">
        <x:v>Housing Ombudsman landlord report</x:v>
      </x:c>
      <x:c r="I71" s="69" t="str">
        <x:v>https://www.housing-ombudsman.org.uk/app/uploads/2025/09/Landlord-Report-Chelmer-Housing-Partnership-Limited.pdf</x:v>
      </x:c>
      <x:c r="J71" s="32" t="str"/>
    </x:row>
    <x:row r="72" ht="31" customHeight="1">
      <x:c r="A72" s="37" t="str">
        <x:v>NSAH (Alliance Homes) Limited</x:v>
      </x:c>
      <x:c r="B72" s="34" t="n">
        <x:v>3</x:v>
      </x:c>
      <x:c r="C72" s="35" t="n">
        <x:v>7540</x:v>
      </x:c>
      <x:c r="D72" s="36" t="n">
        <x:f>B72/C72*10000</x:f>
        <x:v>3.9787798408488064</x:v>
      </x:c>
      <x:c r="E72" s="34" t="str">
        <x:f>IF(B72&gt;=5,"Yes","No")</x:f>
        <x:v>No</x:v>
      </x:c>
      <x:c r="F72" s="34" t="n">
        <x:v>60</x:v>
      </x:c>
      <x:c r="G72" s="34"/>
      <x:c r="H72" s="32" t="str">
        <x:v>Housing Ombudsman landlord report</x:v>
      </x:c>
      <x:c r="I72" s="69" t="str">
        <x:v>https://www.housing-ombudsman.org.uk/app/uploads/2025/09/Landlord-Report-NSAH-Alliance-Homes-Limited.pdf</x:v>
      </x:c>
      <x:c r="J72" s="32" t="str"/>
    </x:row>
    <x:row r="73" ht="31" customHeight="1">
      <x:c r="A73" s="37" t="str">
        <x:v>Estuary Housing Association Limited</x:v>
      </x:c>
      <x:c r="B73" s="34" t="n">
        <x:v>3</x:v>
      </x:c>
      <x:c r="C73" s="35" t="n">
        <x:v>4694</x:v>
      </x:c>
      <x:c r="D73" s="36" t="n">
        <x:f>B73/C73*10000</x:f>
        <x:v>6.391137622496805</x:v>
      </x:c>
      <x:c r="E73" s="34" t="str">
        <x:f>IF(B73&gt;=5,"Yes","No")</x:f>
        <x:v>No</x:v>
      </x:c>
      <x:c r="F73" s="34" t="n">
        <x:v>60</x:v>
      </x:c>
      <x:c r="G73" s="34"/>
      <x:c r="H73" s="32" t="str">
        <x:v>Housing Ombudsman landlord report</x:v>
      </x:c>
      <x:c r="I73" s="69" t="str">
        <x:v>https://www.housing-ombudsman.org.uk/app/uploads/2025/09/Landlord-Report-Estuary-Housing-Association-Limited.pdf</x:v>
      </x:c>
      <x:c r="J73" s="32" t="str"/>
    </x:row>
    <x:row r="74" ht="31" customHeight="1">
      <x:c r="A74" s="37" t="str">
        <x:v>Walsall Housing Group Limited</x:v>
      </x:c>
      <x:c r="B74" s="34" t="n">
        <x:v>3</x:v>
      </x:c>
      <x:c r="C74" s="35" t="n">
        <x:v>22501</x:v>
      </x:c>
      <x:c r="D74" s="36" t="n">
        <x:f>B74/C74*10000</x:f>
        <x:v>1.333274076707702</x:v>
      </x:c>
      <x:c r="E74" s="34" t="str">
        <x:f>IF(B74&gt;=5,"Yes","No")</x:f>
        <x:v>No</x:v>
      </x:c>
      <x:c r="F74" s="34" t="n">
        <x:v>60</x:v>
      </x:c>
      <x:c r="G74" s="34"/>
      <x:c r="H74" s="32" t="str">
        <x:v>Housing Ombudsman landlord report</x:v>
      </x:c>
      <x:c r="I74" s="69" t="str">
        <x:v>https://www.housing-ombudsman.org.uk/app/uploads/2025/09/Landlord-Report-Walsall-Housing-Group-Limited.pdf</x:v>
      </x:c>
      <x:c r="J74" s="32" t="str"/>
    </x:row>
    <x:row r="75" ht="31" customHeight="1">
      <x:c r="A75" s="37" t="str">
        <x:v>Connexus Homes Limited</x:v>
      </x:c>
      <x:c r="B75" s="34" t="n">
        <x:v>3</x:v>
      </x:c>
      <x:c r="C75" s="35" t="n">
        <x:v>11247</x:v>
      </x:c>
      <x:c r="D75" s="36" t="n">
        <x:f>B75/C75*10000</x:f>
        <x:v>2.6673779674579885</x:v>
      </x:c>
      <x:c r="E75" s="34" t="str">
        <x:f>IF(B75&gt;=5,"Yes","No")</x:f>
        <x:v>No</x:v>
      </x:c>
      <x:c r="F75" s="34" t="n">
        <x:v>60</x:v>
      </x:c>
      <x:c r="G75" s="34"/>
      <x:c r="H75" s="32" t="str">
        <x:v>Housing Ombudsman landlord report</x:v>
      </x:c>
      <x:c r="I75" s="69" t="str">
        <x:v>https://www.housing-ombudsman.org.uk/app/uploads/2025/09/Landlord-Report-Connexus-Housing-Limited.pdf</x:v>
      </x:c>
      <x:c r="J75" s="32" t="str"/>
    </x:row>
    <x:row r="76" ht="31" customHeight="1">
      <x:c r="A76" s="37" t="str">
        <x:v>Plus Dane Housing Limited</x:v>
      </x:c>
      <x:c r="B76" s="34" t="n">
        <x:v>3</x:v>
      </x:c>
      <x:c r="C76" s="35" t="n">
        <x:v>13851</x:v>
      </x:c>
      <x:c r="D76" s="36" t="n">
        <x:f>B76/C76*10000</x:f>
        <x:v>2.1659085986571367</x:v>
      </x:c>
      <x:c r="E76" s="34" t="str">
        <x:f>IF(B76&gt;=5,"Yes","No")</x:f>
        <x:v>No</x:v>
      </x:c>
      <x:c r="F76" s="34" t="n">
        <x:v>60</x:v>
      </x:c>
      <x:c r="G76" s="34"/>
      <x:c r="H76" s="32" t="str">
        <x:v>Housing Ombudsman landlord report</x:v>
      </x:c>
      <x:c r="I76" s="69" t="str">
        <x:v>https://www.housing-ombudsman.org.uk/app/uploads/2025/09/Landlord-Report-Plus-Dane-Housing-Limited.pdf</x:v>
      </x:c>
      <x:c r="J76" s="32" t="str"/>
    </x:row>
    <x:row r="77" ht="31" customHeight="1">
      <x:c r="A77" s="37" t="str">
        <x:v>Believe Housing Limited</x:v>
      </x:c>
      <x:c r="B77" s="34" t="n">
        <x:v>3</x:v>
      </x:c>
      <x:c r="C77" s="35" t="n">
        <x:v>18387</x:v>
      </x:c>
      <x:c r="D77" s="36" t="n">
        <x:f>B77/C77*10000</x:f>
        <x:v>1.6315875346712352</x:v>
      </x:c>
      <x:c r="E77" s="34" t="str">
        <x:f>IF(B77&gt;=5,"Yes","No")</x:f>
        <x:v>No</x:v>
      </x:c>
      <x:c r="F77" s="34" t="n">
        <x:v>60</x:v>
      </x:c>
      <x:c r="G77" s="34"/>
      <x:c r="H77" s="32" t="str">
        <x:v>Housing Ombudsman landlord report</x:v>
      </x:c>
      <x:c r="I77" s="69" t="str">
        <x:v>https://www.housing-ombudsman.org.uk/app/uploads/2025/09/Landlord-Report-Believe-Housing-Limited.pdf</x:v>
      </x:c>
      <x:c r="J77" s="32" t="str"/>
    </x:row>
    <x:row r="78" ht="31" customHeight="1">
      <x:c r="A78" s="37" t="str">
        <x:v>Greenhill Housing Association</x:v>
      </x:c>
      <x:c r="B78" s="34" t="n">
        <x:v>2</x:v>
      </x:c>
      <x:c r="C78" s="35" t="n">
        <x:v>458</x:v>
      </x:c>
      <x:c r="D78" s="36" t="n">
        <x:f>B78/C78*10000</x:f>
        <x:v>43.66812227074236</x:v>
      </x:c>
      <x:c r="E78" s="34" t="str">
        <x:f>IF(B78&gt;=5,"Yes","No")</x:f>
        <x:v>No</x:v>
      </x:c>
      <x:c r="F78" s="34" t="n">
        <x:v>74</x:v>
      </x:c>
      <x:c r="G78" s="34"/>
      <x:c r="H78" s="32" t="str">
        <x:v>RSH 2025 owned-or-managed proxy</x:v>
      </x:c>
      <x:c r="I78" s="69" t="str">
        <x:v>https://www.gov.uk/government/statistics/private-registered-provider-social-housing-stock-and-rents-in-england-2024-to-2025</x:v>
      </x:c>
      <x:c r="J78" s="32" t="str"/>
    </x:row>
    <x:row r="79" ht="31" customHeight="1">
      <x:c r="A79" s="37" t="str">
        <x:v>Greatwell Homes Limited</x:v>
      </x:c>
      <x:c r="B79" s="34" t="n">
        <x:v>2</x:v>
      </x:c>
      <x:c r="C79" s="35" t="n">
        <x:v>5326</x:v>
      </x:c>
      <x:c r="D79" s="36" t="n">
        <x:f>B79/C79*10000</x:f>
        <x:v>3.755163349605708</x:v>
      </x:c>
      <x:c r="E79" s="34" t="str">
        <x:f>IF(B79&gt;=5,"Yes","No")</x:f>
        <x:v>No</x:v>
      </x:c>
      <x:c r="F79" s="34" t="n">
        <x:v>74</x:v>
      </x:c>
      <x:c r="G79" s="34"/>
      <x:c r="H79" s="32" t="str">
        <x:v>RSH 2025 owned-or-managed proxy</x:v>
      </x:c>
      <x:c r="I79" s="69" t="str">
        <x:v>https://www.gov.uk/government/statistics/private-registered-provider-social-housing-stock-and-rents-in-england-2024-to-2025</x:v>
      </x:c>
      <x:c r="J79" s="32" t="str"/>
    </x:row>
    <x:row r="80" ht="31" customHeight="1">
      <x:c r="A80" s="37" t="str">
        <x:v>Golding Homes Limited</x:v>
      </x:c>
      <x:c r="B80" s="34" t="n">
        <x:v>2</x:v>
      </x:c>
      <x:c r="C80" s="35" t="n">
        <x:v>8581</x:v>
      </x:c>
      <x:c r="D80" s="36" t="n">
        <x:f>B80/C80*10000</x:f>
        <x:v>2.3307306840694557</x:v>
      </x:c>
      <x:c r="E80" s="34" t="str">
        <x:f>IF(B80&gt;=5,"Yes","No")</x:f>
        <x:v>No</x:v>
      </x:c>
      <x:c r="F80" s="34" t="n">
        <x:v>74</x:v>
      </x:c>
      <x:c r="G80" s="34"/>
      <x:c r="H80" s="32" t="str">
        <x:v>Housing Ombudsman landlord report</x:v>
      </x:c>
      <x:c r="I80" s="69" t="str">
        <x:v>https://www.housing-ombudsman.org.uk/app/uploads/2025/09/Landlord-Report-Golding-Homes-Limited.pdf</x:v>
      </x:c>
      <x:c r="J80" s="32" t="str"/>
    </x:row>
    <x:row r="81" ht="31" customHeight="1">
      <x:c r="A81" s="37" t="str">
        <x:v>Acis Group Limited</x:v>
      </x:c>
      <x:c r="B81" s="34" t="n">
        <x:v>2</x:v>
      </x:c>
      <x:c r="C81" s="35" t="n">
        <x:v>7869</x:v>
      </x:c>
      <x:c r="D81" s="36" t="n">
        <x:f>B81/C81*10000</x:f>
        <x:v>2.5416190113102046</x:v>
      </x:c>
      <x:c r="E81" s="34" t="str">
        <x:f>IF(B81&gt;=5,"Yes","No")</x:f>
        <x:v>No</x:v>
      </x:c>
      <x:c r="F81" s="34" t="n">
        <x:v>74</x:v>
      </x:c>
      <x:c r="G81" s="34"/>
      <x:c r="H81" s="32" t="str">
        <x:v>Housing Ombudsman landlord report</x:v>
      </x:c>
      <x:c r="I81" s="69" t="str">
        <x:v>https://www.housing-ombudsman.org.uk/app/uploads/2025/09/Landlord-Report-Acis-Group-Limited.pdf</x:v>
      </x:c>
      <x:c r="J81" s="32" t="str"/>
    </x:row>
    <x:row r="82" ht="31" customHeight="1">
      <x:c r="A82" s="37" t="str">
        <x:v>East Midlands Housing Group Limited</x:v>
      </x:c>
      <x:c r="B82" s="34" t="n">
        <x:v>2</x:v>
      </x:c>
      <x:c r="C82" s="35" t="n">
        <x:v>19307</x:v>
      </x:c>
      <x:c r="D82" s="36" t="n">
        <x:f>B82/C82*10000</x:f>
        <x:v>1.0358937173046046</x:v>
      </x:c>
      <x:c r="E82" s="34" t="str">
        <x:f>IF(B82&gt;=5,"Yes","No")</x:f>
        <x:v>No</x:v>
      </x:c>
      <x:c r="F82" s="34" t="n">
        <x:v>74</x:v>
      </x:c>
      <x:c r="G82" s="34"/>
      <x:c r="H82" s="32" t="str">
        <x:v>Housing Ombudsman landlord report</x:v>
      </x:c>
      <x:c r="I82" s="69" t="str">
        <x:v>https://www.housing-ombudsman.org.uk/app/uploads/2025/09/Landlord-Report-East-Midlands-Housing-Group-Limited.pdf</x:v>
      </x:c>
      <x:c r="J82" s="32" t="str"/>
    </x:row>
    <x:row r="83" ht="31" customHeight="1">
      <x:c r="A83" s="37" t="str">
        <x:v>Hightown Housing Association Limited</x:v>
      </x:c>
      <x:c r="B83" s="34" t="n">
        <x:v>2</x:v>
      </x:c>
      <x:c r="C83" s="35" t="n">
        <x:v>8737</x:v>
      </x:c>
      <x:c r="D83" s="36" t="n">
        <x:f>B83/C83*10000</x:f>
        <x:v>2.2891152569531874</x:v>
      </x:c>
      <x:c r="E83" s="34" t="str">
        <x:f>IF(B83&gt;=5,"Yes","No")</x:f>
        <x:v>No</x:v>
      </x:c>
      <x:c r="F83" s="34" t="n">
        <x:v>74</x:v>
      </x:c>
      <x:c r="G83" s="34"/>
      <x:c r="H83" s="32" t="str">
        <x:v>Housing Ombudsman landlord report</x:v>
      </x:c>
      <x:c r="I83" s="69" t="str">
        <x:v>https://www.housing-ombudsman.org.uk/app/uploads/2025/09/Landlord-Report-Hightown-Housing-Association-Limited.pdf</x:v>
      </x:c>
      <x:c r="J83" s="32" t="str"/>
    </x:row>
    <x:row r="84" ht="31" customHeight="1">
      <x:c r="A84" s="37" t="str">
        <x:v>Nottingham Community Housing Association Limited</x:v>
      </x:c>
      <x:c r="B84" s="34" t="n">
        <x:v>2</x:v>
      </x:c>
      <x:c r="C84" s="35" t="n">
        <x:v>10292</x:v>
      </x:c>
      <x:c r="D84" s="36" t="n">
        <x:f>B84/C84*10000</x:f>
        <x:v>1.9432568985619898</x:v>
      </x:c>
      <x:c r="E84" s="34" t="str">
        <x:f>IF(B84&gt;=5,"Yes","No")</x:f>
        <x:v>No</x:v>
      </x:c>
      <x:c r="F84" s="34" t="n">
        <x:v>74</x:v>
      </x:c>
      <x:c r="G84" s="34"/>
      <x:c r="H84" s="32" t="str">
        <x:v>Housing Ombudsman landlord report</x:v>
      </x:c>
      <x:c r="I84" s="69" t="str">
        <x:v>https://www.housing-ombudsman.org.uk/app/uploads/2025/09/Landlord-Report-Nottingham-Community-Housing-Association-Limited.pdf</x:v>
      </x:c>
      <x:c r="J84" s="32" t="str"/>
    </x:row>
    <x:row r="85" ht="31" customHeight="1">
      <x:c r="A85" s="37" t="str">
        <x:v>Livv Housing Group</x:v>
      </x:c>
      <x:c r="B85" s="34" t="n">
        <x:v>2</x:v>
      </x:c>
      <x:c r="C85" s="35" t="n">
        <x:v>13272</x:v>
      </x:c>
      <x:c r="D85" s="36" t="n">
        <x:f>B85/C85*10000</x:f>
        <x:v>1.506931886678722</x:v>
      </x:c>
      <x:c r="E85" s="34" t="str">
        <x:f>IF(B85&gt;=5,"Yes","No")</x:f>
        <x:v>No</x:v>
      </x:c>
      <x:c r="F85" s="34" t="n">
        <x:v>74</x:v>
      </x:c>
      <x:c r="G85" s="34"/>
      <x:c r="H85" s="32" t="str">
        <x:v>Housing Ombudsman landlord report</x:v>
      </x:c>
      <x:c r="I85" s="69" t="str">
        <x:v>https://www.housing-ombudsman.org.uk/app/uploads/2025/09/Landlord-Report-Livv-Housing-Group.pdf</x:v>
      </x:c>
      <x:c r="J85" s="32" t="str"/>
    </x:row>
    <x:row r="86" ht="31" customHeight="1">
      <x:c r="A86" s="37" t="str">
        <x:v>Aster Group Limited</x:v>
      </x:c>
      <x:c r="B86" s="34" t="n">
        <x:v>2</x:v>
      </x:c>
      <x:c r="C86" s="35" t="n">
        <x:v>36589</x:v>
      </x:c>
      <x:c r="D86" s="36" t="n">
        <x:f>B86/C86*10000</x:f>
        <x:v>0.5466123698379295</x:v>
      </x:c>
      <x:c r="E86" s="34" t="str">
        <x:f>IF(B86&gt;=5,"Yes","No")</x:f>
        <x:v>No</x:v>
      </x:c>
      <x:c r="F86" s="34" t="n">
        <x:v>74</x:v>
      </x:c>
      <x:c r="G86" s="34"/>
      <x:c r="H86" s="32" t="str">
        <x:v>Housing Ombudsman landlord report</x:v>
      </x:c>
      <x:c r="I86" s="69" t="str">
        <x:v>https://www.housing-ombudsman.org.uk/app/uploads/2025/09/Landlord-Report-Aster-Group-Limited.pdf</x:v>
      </x:c>
      <x:c r="J86" s="32" t="str"/>
    </x:row>
    <x:row r="87" ht="31" customHeight="1">
      <x:c r="A87" s="37" t="str">
        <x:v>Homes Plus Limited</x:v>
      </x:c>
      <x:c r="B87" s="34" t="n">
        <x:v>2</x:v>
      </x:c>
      <x:c r="C87" s="35" t="n">
        <x:v>19841</x:v>
      </x:c>
      <x:c r="D87" s="36" t="n">
        <x:f>B87/C87*10000</x:f>
        <x:v>1.0080137089864423</x:v>
      </x:c>
      <x:c r="E87" s="34" t="str">
        <x:f>IF(B87&gt;=5,"Yes","No")</x:f>
        <x:v>No</x:v>
      </x:c>
      <x:c r="F87" s="34" t="n">
        <x:v>74</x:v>
      </x:c>
      <x:c r="G87" s="34"/>
      <x:c r="H87" s="32" t="str">
        <x:v>Housing Ombudsman landlord report</x:v>
      </x:c>
      <x:c r="I87" s="69" t="str">
        <x:v>https://www.housing-ombudsman.org.uk/app/uploads/2025/09/Landlord-Report-Homes-Plus-Limited.pdf</x:v>
      </x:c>
      <x:c r="J87" s="32" t="str"/>
    </x:row>
    <x:row r="88" ht="31" customHeight="1">
      <x:c r="A88" s="37" t="str">
        <x:v>Brighter Places</x:v>
      </x:c>
      <x:c r="B88" s="34" t="n">
        <x:v>2</x:v>
      </x:c>
      <x:c r="C88" s="35" t="n">
        <x:v>3315</x:v>
      </x:c>
      <x:c r="D88" s="36" t="n">
        <x:f>B88/C88*10000</x:f>
        <x:v>6.033182503770739</x:v>
      </x:c>
      <x:c r="E88" s="34" t="str">
        <x:f>IF(B88&gt;=5,"Yes","No")</x:f>
        <x:v>No</x:v>
      </x:c>
      <x:c r="F88" s="34" t="n">
        <x:v>74</x:v>
      </x:c>
      <x:c r="G88" s="34"/>
      <x:c r="H88" s="32" t="str">
        <x:v>Housing Ombudsman landlord report</x:v>
      </x:c>
      <x:c r="I88" s="69" t="str">
        <x:v>https://www.housing-ombudsman.org.uk/app/uploads/2025/09/Landlord-Report-Brighter-Places.pdf</x:v>
      </x:c>
      <x:c r="J88" s="32" t="str"/>
    </x:row>
    <x:row r="89" ht="31" customHeight="1">
      <x:c r="A89" s="37" t="str">
        <x:v>Eastlight Community Homes Limited</x:v>
      </x:c>
      <x:c r="B89" s="34" t="n">
        <x:v>2</x:v>
      </x:c>
      <x:c r="C89" s="35" t="n">
        <x:v>13430</x:v>
      </x:c>
      <x:c r="D89" s="36" t="n">
        <x:f>B89/C89*10000</x:f>
        <x:v>1.4892032762472078</x:v>
      </x:c>
      <x:c r="E89" s="34" t="str">
        <x:f>IF(B89&gt;=5,"Yes","No")</x:f>
        <x:v>No</x:v>
      </x:c>
      <x:c r="F89" s="34" t="n">
        <x:v>74</x:v>
      </x:c>
      <x:c r="G89" s="34"/>
      <x:c r="H89" s="32" t="str">
        <x:v>Housing Ombudsman landlord report</x:v>
      </x:c>
      <x:c r="I89" s="69" t="str">
        <x:v>https://www.housing-ombudsman.org.uk/app/uploads/2025/09/Landlord-Report-Eastlight-Community-Homes-Limited.pdf</x:v>
      </x:c>
      <x:c r="J89" s="32" t="str"/>
    </x:row>
    <x:row r="90" ht="31" customHeight="1">
      <x:c r="A90" s="37" t="str">
        <x:v>The Pioneer Housing and Community Group Limited</x:v>
      </x:c>
      <x:c r="B90" s="34" t="n">
        <x:v>2</x:v>
      </x:c>
      <x:c r="C90" s="35" t="n">
        <x:v>2757</x:v>
      </x:c>
      <x:c r="D90" s="36" t="n">
        <x:f>B90/C90*10000</x:f>
        <x:v>7.254261878853827</x:v>
      </x:c>
      <x:c r="E90" s="34" t="str">
        <x:f>IF(B90&gt;=5,"Yes","No")</x:f>
        <x:v>No</x:v>
      </x:c>
      <x:c r="F90" s="34" t="n">
        <x:v>74</x:v>
      </x:c>
      <x:c r="G90" s="34"/>
      <x:c r="H90" s="32" t="str">
        <x:v>Housing Ombudsman landlord report</x:v>
      </x:c>
      <x:c r="I90" s="69" t="str">
        <x:v>https://www.housing-ombudsman.org.uk/app/uploads/2025/09/Landlord-Report-The-Pioneer-Housing-and-Community-Group-Limited.pdf</x:v>
      </x:c>
      <x:c r="J90" s="32" t="str"/>
    </x:row>
    <x:row r="91" ht="31" customHeight="1">
      <x:c r="A91" s="37" t="str">
        <x:v>Havebury Homes</x:v>
      </x:c>
      <x:c r="B91" s="34" t="n">
        <x:v>2</x:v>
      </x:c>
      <x:c r="C91" s="35" t="n">
        <x:v>7470</x:v>
      </x:c>
      <x:c r="D91" s="36" t="n">
        <x:f>B91/C91*10000</x:f>
        <x:v>2.677376171352075</x:v>
      </x:c>
      <x:c r="E91" s="34" t="str">
        <x:f>IF(B91&gt;=5,"Yes","No")</x:f>
        <x:v>No</x:v>
      </x:c>
      <x:c r="F91" s="34" t="n">
        <x:v>74</x:v>
      </x:c>
      <x:c r="G91" s="34"/>
      <x:c r="H91" s="32" t="str">
        <x:v>Housing Ombudsman landlord report</x:v>
      </x:c>
      <x:c r="I91" s="69" t="str">
        <x:v>https://www.housing-ombudsman.org.uk/app/uploads/2025/10/Landlord-Report-The-Havebury-Housing-Partnership-re-run-23-Oct.pdf</x:v>
      </x:c>
      <x:c r="J91" s="32" t="str"/>
    </x:row>
    <x:row r="92" ht="31" customHeight="1">
      <x:c r="A92" s="37" t="str">
        <x:v>Islington and Shoreditch Housing Association Limited</x:v>
      </x:c>
      <x:c r="B92" s="34" t="n">
        <x:v>2</x:v>
      </x:c>
      <x:c r="C92" s="35" t="n">
        <x:v>2625</x:v>
      </x:c>
      <x:c r="D92" s="36" t="n">
        <x:f>B92/C92*10000</x:f>
        <x:v>7.6190476190476195</x:v>
      </x:c>
      <x:c r="E92" s="34" t="str">
        <x:f>IF(B92&gt;=5,"Yes","No")</x:f>
        <x:v>No</x:v>
      </x:c>
      <x:c r="F92" s="34" t="n">
        <x:v>74</x:v>
      </x:c>
      <x:c r="G92" s="34"/>
      <x:c r="H92" s="32" t="str">
        <x:v>Housing Ombudsman landlord report</x:v>
      </x:c>
      <x:c r="I92" s="69" t="str">
        <x:v>https://www.housing-ombudsman.org.uk/app/uploads/2025/09/Landlord-Report-Islington-and-Shoreditch-Housing-Association-Limited.pdf</x:v>
      </x:c>
      <x:c r="J92" s="32" t="str"/>
    </x:row>
    <x:row r="93" ht="31" customHeight="1">
      <x:c r="A93" s="37" t="str">
        <x:v>Two Rivers Housing</x:v>
      </x:c>
      <x:c r="B93" s="34" t="n">
        <x:v>2</x:v>
      </x:c>
      <x:c r="C93" s="35" t="n">
        <x:v>4607</x:v>
      </x:c>
      <x:c r="D93" s="36" t="n">
        <x:f>B93/C93*10000</x:f>
        <x:v>4.341219882787063</x:v>
      </x:c>
      <x:c r="E93" s="34" t="str">
        <x:f>IF(B93&gt;=5,"Yes","No")</x:f>
        <x:v>No</x:v>
      </x:c>
      <x:c r="F93" s="34" t="n">
        <x:v>74</x:v>
      </x:c>
      <x:c r="G93" s="34"/>
      <x:c r="H93" s="32" t="str">
        <x:v>Housing Ombudsman landlord report</x:v>
      </x:c>
      <x:c r="I93" s="69" t="str">
        <x:v>https://www.housing-ombudsman.org.uk/app/uploads/2025/09/Landlord-Report-Two-Rivers-Housing.pdf</x:v>
      </x:c>
      <x:c r="J93" s="32" t="str"/>
    </x:row>
    <x:row r="94" ht="31" customHeight="1">
      <x:c r="A94" s="37" t="str">
        <x:v>Magenta Living</x:v>
      </x:c>
      <x:c r="B94" s="34" t="n">
        <x:v>2</x:v>
      </x:c>
      <x:c r="C94" s="35" t="n">
        <x:v>13268</x:v>
      </x:c>
      <x:c r="D94" s="36" t="n">
        <x:f>B94/C94*10000</x:f>
        <x:v>1.507386192342478</x:v>
      </x:c>
      <x:c r="E94" s="34" t="str">
        <x:f>IF(B94&gt;=5,"Yes","No")</x:f>
        <x:v>No</x:v>
      </x:c>
      <x:c r="F94" s="34" t="n">
        <x:v>74</x:v>
      </x:c>
      <x:c r="G94" s="34"/>
      <x:c r="H94" s="32" t="str">
        <x:v>Housing Ombudsman landlord report</x:v>
      </x:c>
      <x:c r="I94" s="69" t="str">
        <x:v>https://www.housing-ombudsman.org.uk/app/uploads/2025/09/Landlord-Report-Magenta-Living.pdf</x:v>
      </x:c>
      <x:c r="J94" s="32" t="str"/>
    </x:row>
    <x:row r="95" ht="31" customHeight="1">
      <x:c r="A95" s="37" t="str">
        <x:v>Rooftop Housing Association Limited</x:v>
      </x:c>
      <x:c r="B95" s="34" t="n">
        <x:v>2</x:v>
      </x:c>
      <x:c r="C95" s="35" t="n">
        <x:v>6746</x:v>
      </x:c>
      <x:c r="D95" s="36" t="n">
        <x:f>B95/C95*10000</x:f>
        <x:v>2.964719833975689</x:v>
      </x:c>
      <x:c r="E95" s="34" t="str">
        <x:f>IF(B95&gt;=5,"Yes","No")</x:f>
        <x:v>No</x:v>
      </x:c>
      <x:c r="F95" s="34" t="n">
        <x:v>74</x:v>
      </x:c>
      <x:c r="G95" s="34"/>
      <x:c r="H95" s="32" t="str">
        <x:v>Housing Ombudsman landlord report</x:v>
      </x:c>
      <x:c r="I95" s="69" t="str">
        <x:v>https://www.housing-ombudsman.org.uk/app/uploads/2025/09/Landlord-Report-Rooftop-Housing-Association-Limited.pdf</x:v>
      </x:c>
      <x:c r="J95" s="32" t="str"/>
    </x:row>
    <x:row r="96" ht="31" customHeight="1">
      <x:c r="A96" s="37" t="str">
        <x:v>Arhag Housing Association Limited</x:v>
      </x:c>
      <x:c r="B96" s="34" t="n">
        <x:v>2</x:v>
      </x:c>
      <x:c r="C96" s="35" t="n">
        <x:v>901</x:v>
      </x:c>
      <x:c r="D96" s="36" t="n">
        <x:f>B96/C96*10000</x:f>
        <x:v>22.197558268590456</x:v>
      </x:c>
      <x:c r="E96" s="34" t="str">
        <x:f>IF(B96&gt;=5,"Yes","No")</x:f>
        <x:v>No</x:v>
      </x:c>
      <x:c r="F96" s="34" t="n">
        <x:v>74</x:v>
      </x:c>
      <x:c r="G96" s="34"/>
      <x:c r="H96" s="32" t="str">
        <x:v>Housing Ombudsman landlord report</x:v>
      </x:c>
      <x:c r="I96" s="69" t="str">
        <x:v>https://www.housing-ombudsman.org.uk/app/uploads/2025/09/Landlord-Report-Arhag-Housing-Association-Limited.pdf</x:v>
      </x:c>
      <x:c r="J96" s="32" t="str"/>
    </x:row>
    <x:row r="97" ht="31" customHeight="1">
      <x:c r="A97" s="37" t="str">
        <x:v>Progress Housing Association Limited</x:v>
      </x:c>
      <x:c r="B97" s="34" t="n">
        <x:v>2</x:v>
      </x:c>
      <x:c r="C97" s="35" t="n">
        <x:v>10865</x:v>
      </x:c>
      <x:c r="D97" s="36" t="n">
        <x:f>B97/C97*10000</x:f>
        <x:v>1.8407731247123793</x:v>
      </x:c>
      <x:c r="E97" s="34" t="str">
        <x:f>IF(B97&gt;=5,"Yes","No")</x:f>
        <x:v>No</x:v>
      </x:c>
      <x:c r="F97" s="34" t="n">
        <x:v>74</x:v>
      </x:c>
      <x:c r="G97" s="34"/>
      <x:c r="H97" s="32" t="str">
        <x:v>RSH 2025 owned-or-managed proxy</x:v>
      </x:c>
      <x:c r="I97" s="69" t="str">
        <x:v>https://www.gov.uk/government/statistics/private-registered-provider-social-housing-stock-and-rents-in-england-2024-to-2025</x:v>
      </x:c>
      <x:c r="J97" s="32" t="str"/>
    </x:row>
    <x:row r="98" ht="31" customHeight="1">
      <x:c r="A98" s="37" t="str">
        <x:v>Tower Hamlets Community Housing</x:v>
      </x:c>
      <x:c r="B98" s="34" t="n">
        <x:v>2</x:v>
      </x:c>
      <x:c r="C98" s="35" t="n">
        <x:v>3197</x:v>
      </x:c>
      <x:c r="D98" s="36" t="n">
        <x:f>B98/C98*10000</x:f>
        <x:v>6.255864873318736</x:v>
      </x:c>
      <x:c r="E98" s="34" t="str">
        <x:f>IF(B98&gt;=5,"Yes","No")</x:f>
        <x:v>No</x:v>
      </x:c>
      <x:c r="F98" s="34" t="n">
        <x:v>74</x:v>
      </x:c>
      <x:c r="G98" s="34"/>
      <x:c r="H98" s="32" t="str">
        <x:v>Housing Ombudsman landlord report</x:v>
      </x:c>
      <x:c r="I98" s="69" t="str">
        <x:v>https://www.housing-ombudsman.org.uk/app/uploads/2025/09/Landlord-Report-Tower-Hamlets-Community-Housing.pdf</x:v>
      </x:c>
      <x:c r="J98" s="32" t="str"/>
    </x:row>
    <x:row r="99" ht="31" customHeight="1">
      <x:c r="A99" s="37" t="str">
        <x:v>The Community Housing Group Limited</x:v>
      </x:c>
      <x:c r="B99" s="34" t="n">
        <x:v>2</x:v>
      </x:c>
      <x:c r="C99" s="35" t="n">
        <x:v>6140</x:v>
      </x:c>
      <x:c r="D99" s="36" t="n">
        <x:f>B99/C99*10000</x:f>
        <x:v>3.257328990228013</x:v>
      </x:c>
      <x:c r="E99" s="34" t="str">
        <x:f>IF(B99&gt;=5,"Yes","No")</x:f>
        <x:v>No</x:v>
      </x:c>
      <x:c r="F99" s="34" t="n">
        <x:v>74</x:v>
      </x:c>
      <x:c r="G99" s="34"/>
      <x:c r="H99" s="32" t="str">
        <x:v>Housing Ombudsman landlord report</x:v>
      </x:c>
      <x:c r="I99" s="69" t="str">
        <x:v>https://www.housing-ombudsman.org.uk/app/uploads/2025/09/Landlord-Report-The-Community-Housing-Group-Limited.pdf</x:v>
      </x:c>
      <x:c r="J99" s="32" t="str"/>
    </x:row>
    <x:row r="100" ht="31" customHeight="1">
      <x:c r="A100" s="37" t="str">
        <x:v>Regenda Limited</x:v>
      </x:c>
      <x:c r="B100" s="34" t="n">
        <x:v>2</x:v>
      </x:c>
      <x:c r="C100" s="35" t="n">
        <x:v>11687</x:v>
      </x:c>
      <x:c r="D100" s="36" t="n">
        <x:f>B100/C100*10000</x:f>
        <x:v>1.7113031573543254</x:v>
      </x:c>
      <x:c r="E100" s="34" t="str">
        <x:f>IF(B100&gt;=5,"Yes","No")</x:f>
        <x:v>No</x:v>
      </x:c>
      <x:c r="F100" s="34" t="n">
        <x:v>74</x:v>
      </x:c>
      <x:c r="G100" s="34"/>
      <x:c r="H100" s="32" t="str">
        <x:v>Housing Ombudsman landlord report</x:v>
      </x:c>
      <x:c r="I100" s="69" t="str">
        <x:v>https://www.housing-ombudsman.org.uk/app/uploads/2025/09/Landlord-Report-Regenda-Limited.pdf</x:v>
      </x:c>
      <x:c r="J100" s="32" t="str"/>
    </x:row>
    <x:row r="101" ht="31" customHeight="1">
      <x:c r="A101" s="37" t="str">
        <x:v>Bromsgrove District Housing Trust Limited</x:v>
      </x:c>
      <x:c r="B101" s="34" t="n">
        <x:v>2</x:v>
      </x:c>
      <x:c r="C101" s="35" t="n">
        <x:v>4441</x:v>
      </x:c>
      <x:c r="D101" s="36" t="n">
        <x:f>B101/C101*10000</x:f>
        <x:v>4.503490204908804</x:v>
      </x:c>
      <x:c r="E101" s="34" t="str">
        <x:f>IF(B101&gt;=5,"Yes","No")</x:f>
        <x:v>No</x:v>
      </x:c>
      <x:c r="F101" s="34" t="n">
        <x:v>74</x:v>
      </x:c>
      <x:c r="G101" s="34"/>
      <x:c r="H101" s="32" t="str">
        <x:v>RSH 2025 owned-or-managed proxy</x:v>
      </x:c>
      <x:c r="I101" s="69" t="str">
        <x:v>https://www.gov.uk/government/statistics/private-registered-provider-social-housing-stock-and-rents-in-england-2024-to-2025</x:v>
      </x:c>
      <x:c r="J101" s="32" t="str"/>
    </x:row>
    <x:row r="102" ht="31" customHeight="1">
      <x:c r="A102" s="37" t="str">
        <x:v>East End Homes Limited</x:v>
      </x:c>
      <x:c r="B102" s="34" t="n">
        <x:v>2</x:v>
      </x:c>
      <x:c r="C102" s="35" t="n">
        <x:v>3920</x:v>
      </x:c>
      <x:c r="D102" s="36" t="n">
        <x:f>B102/C102*10000</x:f>
        <x:v>5.102040816326531</x:v>
      </x:c>
      <x:c r="E102" s="34" t="str">
        <x:f>IF(B102&gt;=5,"Yes","No")</x:f>
        <x:v>No</x:v>
      </x:c>
      <x:c r="F102" s="34" t="n">
        <x:v>74</x:v>
      </x:c>
      <x:c r="G102" s="34"/>
      <x:c r="H102" s="32" t="str">
        <x:v>Housing Ombudsman landlord report</x:v>
      </x:c>
      <x:c r="I102" s="69" t="str">
        <x:v>https://www.housing-ombudsman.org.uk/app/uploads/2025/09/Landlord-Report-East-End-Homes-Limited.pdf</x:v>
      </x:c>
      <x:c r="J102" s="32" t="str"/>
    </x:row>
    <x:row r="103" ht="31" customHeight="1">
      <x:c r="A103" s="37" t="str">
        <x:v>Freebridge Community Housing Limited</x:v>
      </x:c>
      <x:c r="B103" s="34" t="n">
        <x:v>2</x:v>
      </x:c>
      <x:c r="C103" s="35" t="n">
        <x:v>7010</x:v>
      </x:c>
      <x:c r="D103" s="36" t="n">
        <x:f>B103/C103*10000</x:f>
        <x:v>2.8530670470756063</x:v>
      </x:c>
      <x:c r="E103" s="34" t="str">
        <x:f>IF(B103&gt;=5,"Yes","No")</x:f>
        <x:v>No</x:v>
      </x:c>
      <x:c r="F103" s="34" t="n">
        <x:v>74</x:v>
      </x:c>
      <x:c r="G103" s="34"/>
      <x:c r="H103" s="32" t="str">
        <x:v>Housing Ombudsman landlord report</x:v>
      </x:c>
      <x:c r="I103" s="69" t="str">
        <x:v>https://www.housing-ombudsman.org.uk/app/uploads/2025/09/Landlord-Report-Freebridge-Community-Housing-Limited.pdf</x:v>
      </x:c>
      <x:c r="J103" s="32" t="str"/>
    </x:row>
    <x:row r="104" ht="31" customHeight="1">
      <x:c r="A104" s="37" t="str">
        <x:v>Karibu Community Homes Limited</x:v>
      </x:c>
      <x:c r="B104" s="34" t="n">
        <x:v>2</x:v>
      </x:c>
      <x:c r="C104" s="35" t="n">
        <x:v>1318</x:v>
      </x:c>
      <x:c r="D104" s="36" t="n">
        <x:f>B104/C104*10000</x:f>
        <x:v>15.174506828528074</x:v>
      </x:c>
      <x:c r="E104" s="34" t="str">
        <x:f>IF(B104&gt;=5,"Yes","No")</x:f>
        <x:v>No</x:v>
      </x:c>
      <x:c r="F104" s="34" t="n">
        <x:v>74</x:v>
      </x:c>
      <x:c r="G104" s="34"/>
      <x:c r="H104" s="32" t="str">
        <x:v>Housing Ombudsman landlord report</x:v>
      </x:c>
      <x:c r="I104" s="69" t="str">
        <x:v>https://www.housing-ombudsman.org.uk/app/uploads/2025/09/Landlord-Report-Karibu-Community-Homes-Limited.pdf</x:v>
      </x:c>
      <x:c r="J104" s="32" t="str"/>
    </x:row>
    <x:row r="105" ht="31" customHeight="1">
      <x:c r="A105" s="37" t="str">
        <x:v>Cornwall Housing Limited</x:v>
      </x:c>
      <x:c r="B105" s="34" t="n">
        <x:v>2</x:v>
      </x:c>
      <x:c r="C105" s="35" t="n">
        <x:v>10381</x:v>
      </x:c>
      <x:c r="D105" s="36" t="n">
        <x:f>B105/C105*10000</x:f>
        <x:v>1.926596666987766</x:v>
      </x:c>
      <x:c r="E105" s="34" t="str">
        <x:f>IF(B105&gt;=5,"Yes","No")</x:f>
        <x:v>No</x:v>
      </x:c>
      <x:c r="F105" s="34" t="n">
        <x:v>74</x:v>
      </x:c>
      <x:c r="G105" s="34"/>
      <x:c r="H105" s="32" t="str">
        <x:v>Housing Ombudsman landlord report</x:v>
      </x:c>
      <x:c r="I105" s="69" t="str">
        <x:v>https://www.housing-ombudsman.org.uk/app/uploads/2025/09/Landlord-Report-Cornwall-Housing-Limited.pdf</x:v>
      </x:c>
      <x:c r="J105" s="32" t="str"/>
    </x:row>
    <x:row r="106" ht="31" customHeight="1">
      <x:c r="A106" s="37" t="str">
        <x:v>Vico Homes Limited</x:v>
      </x:c>
      <x:c r="B106" s="34" t="n">
        <x:v>2</x:v>
      </x:c>
      <x:c r="C106" s="35" t="n">
        <x:v>32145</x:v>
      </x:c>
      <x:c r="D106" s="36" t="n">
        <x:f>B106/C106*10000</x:f>
        <x:v>0.6221807435059884</x:v>
      </x:c>
      <x:c r="E106" s="34" t="str">
        <x:f>IF(B106&gt;=5,"Yes","No")</x:f>
        <x:v>No</x:v>
      </x:c>
      <x:c r="F106" s="34" t="n">
        <x:v>74</x:v>
      </x:c>
      <x:c r="G106" s="34"/>
      <x:c r="H106" s="32" t="str">
        <x:v>Housing Ombudsman landlord report</x:v>
      </x:c>
      <x:c r="I106" s="69" t="str">
        <x:v>https://www.housing-ombudsman.org.uk/app/uploads/2025/09/Landlord-Report-Vico-Homes-Limited.pdf</x:v>
      </x:c>
      <x:c r="J106" s="32" t="str"/>
    </x:row>
    <x:row r="107" ht="31" customHeight="1">
      <x:c r="A107" s="37" t="str">
        <x:v>Cross Keys Homes Limited</x:v>
      </x:c>
      <x:c r="B107" s="34" t="n">
        <x:v>1</x:v>
      </x:c>
      <x:c r="C107" s="35" t="n">
        <x:v>13643</x:v>
      </x:c>
      <x:c r="D107" s="36" t="n">
        <x:f>B107/C107*10000</x:f>
        <x:v>0.7329766180458844</x:v>
      </x:c>
      <x:c r="E107" s="34" t="str">
        <x:f>IF(B107&gt;=5,"Yes","No")</x:f>
        <x:v>No</x:v>
      </x:c>
      <x:c r="F107" s="34" t="n">
        <x:v>103</x:v>
      </x:c>
      <x:c r="G107" s="34"/>
      <x:c r="H107" s="32" t="str">
        <x:v>Housing Ombudsman landlord report</x:v>
      </x:c>
      <x:c r="I107" s="69" t="str">
        <x:v>https://www.housing-ombudsman.org.uk/app/uploads/2025/09/Landlord-Report-Cross-Keys-Homes-Limited.pdf</x:v>
      </x:c>
      <x:c r="J107" s="32" t="str"/>
    </x:row>
    <x:row r="108" ht="31" customHeight="1">
      <x:c r="A108" s="37" t="str">
        <x:v>Wythenshawe Community Housing Group Limited</x:v>
      </x:c>
      <x:c r="B108" s="34" t="n">
        <x:v>1</x:v>
      </x:c>
      <x:c r="C108" s="35" t="n">
        <x:v>14565</x:v>
      </x:c>
      <x:c r="D108" s="36" t="n">
        <x:f>B108/C108*10000</x:f>
        <x:v>0.6865774116031582</x:v>
      </x:c>
      <x:c r="E108" s="34" t="str">
        <x:f>IF(B108&gt;=5,"Yes","No")</x:f>
        <x:v>No</x:v>
      </x:c>
      <x:c r="F108" s="34" t="n">
        <x:v>103</x:v>
      </x:c>
      <x:c r="G108" s="34"/>
      <x:c r="H108" s="32" t="str">
        <x:v>RSH 2025 owned-or-managed proxy</x:v>
      </x:c>
      <x:c r="I108" s="69" t="str">
        <x:v>https://www.gov.uk/government/statistics/private-registered-provider-social-housing-stock-and-rents-in-england-2024-to-2025</x:v>
      </x:c>
      <x:c r="J108" s="32" t="str"/>
    </x:row>
    <x:row r="109" ht="31" customHeight="1">
      <x:c r="A109" s="37" t="str">
        <x:v>Lincolnshire Housing Partnership Limited</x:v>
      </x:c>
      <x:c r="B109" s="34" t="n">
        <x:v>1</x:v>
      </x:c>
      <x:c r="C109" s="35" t="n">
        <x:v>12523</x:v>
      </x:c>
      <x:c r="D109" s="36" t="n">
        <x:f>B109/C109*10000</x:f>
        <x:v>0.7985307035055498</x:v>
      </x:c>
      <x:c r="E109" s="34" t="str">
        <x:f>IF(B109&gt;=5,"Yes","No")</x:f>
        <x:v>No</x:v>
      </x:c>
      <x:c r="F109" s="34" t="n">
        <x:v>103</x:v>
      </x:c>
      <x:c r="G109" s="34"/>
      <x:c r="H109" s="32" t="str">
        <x:v>Housing Ombudsman landlord report</x:v>
      </x:c>
      <x:c r="I109" s="69" t="str">
        <x:v>https://www.housing-ombudsman.org.uk/app/uploads/2025/09/Landlord-Report-Lincolnshire-Housing-Partnership-Limited.pdf</x:v>
      </x:c>
      <x:c r="J109" s="32" t="str"/>
    </x:row>
    <x:row r="110" ht="31" customHeight="1">
      <x:c r="A110" s="37" t="str">
        <x:v>B3 Living Limited</x:v>
      </x:c>
      <x:c r="B110" s="34" t="n">
        <x:v>1</x:v>
      </x:c>
      <x:c r="C110" s="35" t="n">
        <x:v>5294</x:v>
      </x:c>
      <x:c r="D110" s="36" t="n">
        <x:f>B110/C110*10000</x:f>
        <x:v>1.8889308651303363</x:v>
      </x:c>
      <x:c r="E110" s="34" t="str">
        <x:f>IF(B110&gt;=5,"Yes","No")</x:f>
        <x:v>No</x:v>
      </x:c>
      <x:c r="F110" s="34" t="n">
        <x:v>103</x:v>
      </x:c>
      <x:c r="G110" s="34"/>
      <x:c r="H110" s="32" t="str">
        <x:v>Housing Ombudsman landlord report</x:v>
      </x:c>
      <x:c r="I110" s="69" t="str">
        <x:v>https://www.housing-ombudsman.org.uk/app/uploads/2025/09/Landlord-Report-B3-Living-Limited.pdf</x:v>
      </x:c>
      <x:c r="J110" s="32" t="str"/>
    </x:row>
    <x:row r="111" ht="31" customHeight="1">
      <x:c r="A111" s="37" t="str">
        <x:v>Leeds Federated Housing Association Limited</x:v>
      </x:c>
      <x:c r="B111" s="34" t="n">
        <x:v>1</x:v>
      </x:c>
      <x:c r="C111" s="35" t="n">
        <x:v>4794</x:v>
      </x:c>
      <x:c r="D111" s="36" t="n">
        <x:f>B111/C111*10000</x:f>
        <x:v>2.0859407592824364</x:v>
      </x:c>
      <x:c r="E111" s="34" t="str">
        <x:f>IF(B111&gt;=5,"Yes","No")</x:f>
        <x:v>No</x:v>
      </x:c>
      <x:c r="F111" s="34" t="n">
        <x:v>103</x:v>
      </x:c>
      <x:c r="G111" s="34"/>
      <x:c r="H111" s="32" t="str">
        <x:v>RSH 2025 owned-or-managed proxy</x:v>
      </x:c>
      <x:c r="I111" s="69" t="str">
        <x:v>https://www.gov.uk/government/statistics/private-registered-provider-social-housing-stock-and-rents-in-england-2024-to-2025</x:v>
      </x:c>
      <x:c r="J111" s="32" t="str"/>
    </x:row>
    <x:row r="112" ht="31" customHeight="1">
      <x:c r="A112" s="37" t="str">
        <x:v>Adullam Homes Housing Association Limited</x:v>
      </x:c>
      <x:c r="B112" s="34" t="n">
        <x:v>1</x:v>
      </x:c>
      <x:c r="C112" s="35" t="n">
        <x:v>784</x:v>
      </x:c>
      <x:c r="D112" s="36" t="n">
        <x:f>B112/C112*10000</x:f>
        <x:v>12.755102040816325</x:v>
      </x:c>
      <x:c r="E112" s="34" t="str">
        <x:f>IF(B112&gt;=5,"Yes","No")</x:f>
        <x:v>No</x:v>
      </x:c>
      <x:c r="F112" s="34" t="n">
        <x:v>103</x:v>
      </x:c>
      <x:c r="G112" s="34"/>
      <x:c r="H112" s="32" t="str">
        <x:v>RSH 2025 owned-or-managed proxy</x:v>
      </x:c>
      <x:c r="I112" s="69" t="str">
        <x:v>https://www.gov.uk/government/statistics/private-registered-provider-social-housing-stock-and-rents-in-england-2024-to-2025</x:v>
      </x:c>
      <x:c r="J112" s="32" t="str"/>
    </x:row>
    <x:row r="113" ht="31" customHeight="1">
      <x:c r="A113" s="37" t="str">
        <x:v>The Wrekin Housing Group Limited</x:v>
      </x:c>
      <x:c r="B113" s="34" t="n">
        <x:v>1</x:v>
      </x:c>
      <x:c r="C113" s="35" t="n">
        <x:v>14047</x:v>
      </x:c>
      <x:c r="D113" s="36" t="n">
        <x:f>B113/C113*10000</x:f>
        <x:v>0.7118957784580338</x:v>
      </x:c>
      <x:c r="E113" s="34" t="str">
        <x:f>IF(B113&gt;=5,"Yes","No")</x:f>
        <x:v>No</x:v>
      </x:c>
      <x:c r="F113" s="34" t="n">
        <x:v>103</x:v>
      </x:c>
      <x:c r="G113" s="34"/>
      <x:c r="H113" s="32" t="str">
        <x:v>RSH 2025 owned-or-managed proxy</x:v>
      </x:c>
      <x:c r="I113" s="69" t="str">
        <x:v>https://www.gov.uk/government/statistics/private-registered-provider-social-housing-stock-and-rents-in-england-2024-to-2025</x:v>
      </x:c>
      <x:c r="J113" s="32" t="str"/>
    </x:row>
    <x:row r="114" ht="31" customHeight="1">
      <x:c r="A114" s="37" t="str">
        <x:v>Cornerstone Housing Limited</x:v>
      </x:c>
      <x:c r="B114" s="34" t="n">
        <x:v>1</x:v>
      </x:c>
      <x:c r="C114" s="35" t="n">
        <x:v>1433</x:v>
      </x:c>
      <x:c r="D114" s="36" t="n">
        <x:f>B114/C114*10000</x:f>
        <x:v>6.978367062107466</x:v>
      </x:c>
      <x:c r="E114" s="34" t="str">
        <x:f>IF(B114&gt;=5,"Yes","No")</x:f>
        <x:v>No</x:v>
      </x:c>
      <x:c r="F114" s="34" t="n">
        <x:v>103</x:v>
      </x:c>
      <x:c r="G114" s="34"/>
      <x:c r="H114" s="32" t="str">
        <x:v>RSH 2025 owned-or-managed proxy</x:v>
      </x:c>
      <x:c r="I114" s="69" t="str">
        <x:v>https://www.gov.uk/government/statistics/private-registered-provider-social-housing-stock-and-rents-in-england-2024-to-2025</x:v>
      </x:c>
      <x:c r="J114" s="32" t="str"/>
    </x:row>
    <x:row r="115" ht="31" customHeight="1">
      <x:c r="A115" s="37" t="str">
        <x:v>Hastoe Housing Association Limited</x:v>
      </x:c>
      <x:c r="B115" s="34" t="n">
        <x:v>1</x:v>
      </x:c>
      <x:c r="C115" s="35" t="n">
        <x:v>7472</x:v>
      </x:c>
      <x:c r="D115" s="36" t="n">
        <x:f>B115/C115*10000</x:f>
        <x:v>1.3383297644539616</x:v>
      </x:c>
      <x:c r="E115" s="34" t="str">
        <x:f>IF(B115&gt;=5,"Yes","No")</x:f>
        <x:v>No</x:v>
      </x:c>
      <x:c r="F115" s="34" t="n">
        <x:v>103</x:v>
      </x:c>
      <x:c r="G115" s="34"/>
      <x:c r="H115" s="32" t="str">
        <x:v>Housing Ombudsman landlord report</x:v>
      </x:c>
      <x:c r="I115" s="69" t="str">
        <x:v>https://www.housing-ombudsman.org.uk/app/uploads/2025/09/Landlord-Report-Hastoe-Housing-Association-Limited.pdf</x:v>
      </x:c>
      <x:c r="J115" s="32" t="str"/>
    </x:row>
    <x:row r="116" ht="31" customHeight="1">
      <x:c r="A116" s="37" t="str">
        <x:v>Look Ahead Care and Support Limited</x:v>
      </x:c>
      <x:c r="B116" s="34" t="n">
        <x:v>1</x:v>
      </x:c>
      <x:c r="C116" s="35" t="n">
        <x:v>1727</x:v>
      </x:c>
      <x:c r="D116" s="36" t="n">
        <x:f>B116/C116*10000</x:f>
        <x:v>5.790387955993051</x:v>
      </x:c>
      <x:c r="E116" s="34" t="str">
        <x:f>IF(B116&gt;=5,"Yes","No")</x:f>
        <x:v>No</x:v>
      </x:c>
      <x:c r="F116" s="34" t="n">
        <x:v>103</x:v>
      </x:c>
      <x:c r="G116" s="34"/>
      <x:c r="H116" s="32" t="str">
        <x:v>RSH 2025 owned-or-managed proxy</x:v>
      </x:c>
      <x:c r="I116" s="69" t="str">
        <x:v>https://www.gov.uk/government/statistics/private-registered-provider-social-housing-stock-and-rents-in-england-2024-to-2025</x:v>
      </x:c>
      <x:c r="J116" s="32" t="str"/>
    </x:row>
    <x:row r="117" ht="31" customHeight="1">
      <x:c r="A117" s="37" t="str">
        <x:v>Saffron Housing Trust Limited</x:v>
      </x:c>
      <x:c r="B117" s="34" t="n">
        <x:v>1</x:v>
      </x:c>
      <x:c r="C117" s="35" t="n">
        <x:v>6816</x:v>
      </x:c>
      <x:c r="D117" s="36" t="n">
        <x:f>B117/C117*10000</x:f>
        <x:v>1.4671361502347418</x:v>
      </x:c>
      <x:c r="E117" s="34" t="str">
        <x:f>IF(B117&gt;=5,"Yes","No")</x:f>
        <x:v>No</x:v>
      </x:c>
      <x:c r="F117" s="34" t="n">
        <x:v>103</x:v>
      </x:c>
      <x:c r="G117" s="34"/>
      <x:c r="H117" s="32" t="str">
        <x:v>Housing Ombudsman landlord report</x:v>
      </x:c>
      <x:c r="I117" s="69" t="str">
        <x:v>https://www.housing-ombudsman.org.uk/app/uploads/2025/09/Landlord-Report-Saffron-Housing-Trust-Limited.pdf</x:v>
      </x:c>
      <x:c r="J117" s="32" t="str"/>
    </x:row>
    <x:row r="118" ht="31" customHeight="1">
      <x:c r="A118" s="37" t="str">
        <x:v>Plymouth Community Homes Limited</x:v>
      </x:c>
      <x:c r="B118" s="34" t="n">
        <x:v>1</x:v>
      </x:c>
      <x:c r="C118" s="35" t="n">
        <x:v>16378</x:v>
      </x:c>
      <x:c r="D118" s="36" t="n">
        <x:f>B118/C118*10000</x:f>
        <x:v>0.6105751618024179</x:v>
      </x:c>
      <x:c r="E118" s="34" t="str">
        <x:f>IF(B118&gt;=5,"Yes","No")</x:f>
        <x:v>No</x:v>
      </x:c>
      <x:c r="F118" s="34" t="n">
        <x:v>103</x:v>
      </x:c>
      <x:c r="G118" s="34"/>
      <x:c r="H118" s="32" t="str">
        <x:v>Housing Ombudsman landlord report</x:v>
      </x:c>
      <x:c r="I118" s="69" t="str">
        <x:v>https://www.housing-ombudsman.org.uk/app/uploads/2025/09/Landlord-Report-Plymouth-Community-Homes-Limited.pdf</x:v>
      </x:c>
      <x:c r="J118" s="32" t="str"/>
    </x:row>
    <x:row r="119" ht="31" customHeight="1">
      <x:c r="A119" s="37" t="str">
        <x:v>Cottsway Housing Association Limited</x:v>
      </x:c>
      <x:c r="B119" s="34" t="n">
        <x:v>1</x:v>
      </x:c>
      <x:c r="C119" s="35" t="n">
        <x:v>5805</x:v>
      </x:c>
      <x:c r="D119" s="36" t="n">
        <x:f>B119/C119*10000</x:f>
        <x:v>1.722652885443583</x:v>
      </x:c>
      <x:c r="E119" s="34" t="str">
        <x:f>IF(B119&gt;=5,"Yes","No")</x:f>
        <x:v>No</x:v>
      </x:c>
      <x:c r="F119" s="34" t="n">
        <x:v>103</x:v>
      </x:c>
      <x:c r="G119" s="34"/>
      <x:c r="H119" s="32" t="str">
        <x:v>Housing Ombudsman landlord report</x:v>
      </x:c>
      <x:c r="I119" s="69" t="str">
        <x:v>https://www.housing-ombudsman.org.uk/app/uploads/2025/09/Landlord-Report-Cottsway-Housing-Association-Limited.pdf</x:v>
      </x:c>
      <x:c r="J119" s="32" t="str"/>
    </x:row>
    <x:row r="120" ht="31" customHeight="1">
      <x:c r="A120" s="37" t="str">
        <x:v>Selwood Housing Society Limited</x:v>
      </x:c>
      <x:c r="B120" s="34" t="n">
        <x:v>1</x:v>
      </x:c>
      <x:c r="C120" s="35" t="n">
        <x:v>7291</x:v>
      </x:c>
      <x:c r="D120" s="36" t="n">
        <x:f>B120/C120*10000</x:f>
        <x:v>1.371553970648745</x:v>
      </x:c>
      <x:c r="E120" s="34" t="str">
        <x:f>IF(B120&gt;=5,"Yes","No")</x:f>
        <x:v>No</x:v>
      </x:c>
      <x:c r="F120" s="34" t="n">
        <x:v>103</x:v>
      </x:c>
      <x:c r="G120" s="34"/>
      <x:c r="H120" s="32" t="str">
        <x:v>RSH 2025 owned-or-managed proxy</x:v>
      </x:c>
      <x:c r="I120" s="69" t="str">
        <x:v>https://www.gov.uk/government/statistics/private-registered-provider-social-housing-stock-and-rents-in-england-2024-to-2025</x:v>
      </x:c>
      <x:c r="J120" s="32" t="str"/>
    </x:row>
    <x:row r="121" ht="31" customHeight="1">
      <x:c r="A121" s="37" t="str">
        <x:v>Castles &amp; Coasts Housing Association Limited</x:v>
      </x:c>
      <x:c r="B121" s="34" t="n">
        <x:v>1</x:v>
      </x:c>
      <x:c r="C121" s="35" t="n">
        <x:v>7446</x:v>
      </x:c>
      <x:c r="D121" s="36" t="n">
        <x:f>B121/C121*10000</x:f>
        <x:v>1.3430029546065</x:v>
      </x:c>
      <x:c r="E121" s="34" t="str">
        <x:f>IF(B121&gt;=5,"Yes","No")</x:f>
        <x:v>No</x:v>
      </x:c>
      <x:c r="F121" s="34" t="n">
        <x:v>103</x:v>
      </x:c>
      <x:c r="G121" s="34"/>
      <x:c r="H121" s="32" t="str">
        <x:v>RSH 2025 owned-or-managed proxy</x:v>
      </x:c>
      <x:c r="I121" s="69" t="str">
        <x:v>https://www.gov.uk/government/statistics/private-registered-provider-social-housing-stock-and-rents-in-england-2024-to-2025</x:v>
      </x:c>
      <x:c r="J121" s="32" t="str"/>
    </x:row>
    <x:row r="122" ht="31" customHeight="1">
      <x:c r="A122" s="37" t="str">
        <x:v>Livin Housing Limited</x:v>
      </x:c>
      <x:c r="B122" s="34" t="n">
        <x:v>1</x:v>
      </x:c>
      <x:c r="C122" s="35" t="n">
        <x:v>9007</x:v>
      </x:c>
      <x:c r="D122" s="36" t="n">
        <x:f>B122/C122*10000</x:f>
        <x:v>1.1102475852115021</x:v>
      </x:c>
      <x:c r="E122" s="34" t="str">
        <x:f>IF(B122&gt;=5,"Yes","No")</x:f>
        <x:v>No</x:v>
      </x:c>
      <x:c r="F122" s="34" t="n">
        <x:v>103</x:v>
      </x:c>
      <x:c r="G122" s="34"/>
      <x:c r="H122" s="32" t="str">
        <x:v>RSH 2025 owned-or-managed proxy</x:v>
      </x:c>
      <x:c r="I122" s="69" t="str">
        <x:v>https://www.gov.uk/government/statistics/private-registered-provider-social-housing-stock-and-rents-in-england-2024-to-2025</x:v>
      </x:c>
      <x:c r="J122" s="32" t="str"/>
    </x:row>
    <x:row r="123" ht="31" customHeight="1">
      <x:c r="A123" s="37" t="str">
        <x:v>Soho Housing Association Limited</x:v>
      </x:c>
      <x:c r="B123" s="34" t="n">
        <x:v>1</x:v>
      </x:c>
      <x:c r="C123" s="35" t="n">
        <x:v>799</x:v>
      </x:c>
      <x:c r="D123" s="36" t="n">
        <x:f>B123/C123*10000</x:f>
        <x:v>12.51564455569462</x:v>
      </x:c>
      <x:c r="E123" s="34" t="str">
        <x:f>IF(B123&gt;=5,"Yes","No")</x:f>
        <x:v>No</x:v>
      </x:c>
      <x:c r="F123" s="34" t="n">
        <x:v>103</x:v>
      </x:c>
      <x:c r="G123" s="34"/>
      <x:c r="H123" s="32" t="str">
        <x:v>Housing Ombudsman landlord report</x:v>
      </x:c>
      <x:c r="I123" s="69" t="str">
        <x:v>https://www.housing-ombudsman.org.uk/app/uploads/2025/09/Landlord-Report-Soho-Housing-Association-Limited.pdf</x:v>
      </x:c>
      <x:c r="J123" s="32" t="str"/>
    </x:row>
    <x:row r="124" ht="31" customHeight="1">
      <x:c r="A124" s="37" t="str">
        <x:v>Plexus UK (First Project) Limited</x:v>
      </x:c>
      <x:c r="B124" s="34" t="n">
        <x:v>1</x:v>
      </x:c>
      <x:c r="C124" s="35" t="n">
        <x:v>2179</x:v>
      </x:c>
      <x:c r="D124" s="36" t="n">
        <x:f>B124/C124*10000</x:f>
        <x:v>4.5892611289582375</x:v>
      </x:c>
      <x:c r="E124" s="34" t="str">
        <x:f>IF(B124&gt;=5,"Yes","No")</x:f>
        <x:v>No</x:v>
      </x:c>
      <x:c r="F124" s="34" t="n">
        <x:v>103</x:v>
      </x:c>
      <x:c r="G124" s="34"/>
      <x:c r="H124" s="32" t="str">
        <x:v>RSH 2025 owned-or-managed proxy</x:v>
      </x:c>
      <x:c r="I124" s="69" t="str">
        <x:v>https://www.gov.uk/government/statistics/private-registered-provider-social-housing-stock-and-rents-in-england-2024-to-2025</x:v>
      </x:c>
      <x:c r="J124" s="32" t="str"/>
    </x:row>
    <x:row r="125" ht="31" customHeight="1">
      <x:c r="A125" s="37" t="str">
        <x:v>Worthing Homes Limited</x:v>
      </x:c>
      <x:c r="B125" s="34" t="n">
        <x:v>1</x:v>
      </x:c>
      <x:c r="C125" s="35" t="n">
        <x:v>4100</x:v>
      </x:c>
      <x:c r="D125" s="36" t="n">
        <x:f>B125/C125*10000</x:f>
        <x:v>2.4390243902439024</x:v>
      </x:c>
      <x:c r="E125" s="34" t="str">
        <x:f>IF(B125&gt;=5,"Yes","No")</x:f>
        <x:v>No</x:v>
      </x:c>
      <x:c r="F125" s="34" t="n">
        <x:v>103</x:v>
      </x:c>
      <x:c r="G125" s="34"/>
      <x:c r="H125" s="32" t="str">
        <x:v>Housing Ombudsman landlord report</x:v>
      </x:c>
      <x:c r="I125" s="69" t="str">
        <x:v>https://www.housing-ombudsman.org.uk/app/uploads/2025/09/Landlord-Report-Worthing-Homes-Limited.pdf</x:v>
      </x:c>
      <x:c r="J125" s="32" t="str"/>
    </x:row>
    <x:row r="126" ht="31" customHeight="1">
      <x:c r="A126" s="37" t="str">
        <x:v>Gateway Housing Association Limited</x:v>
      </x:c>
      <x:c r="B126" s="34" t="n">
        <x:v>1</x:v>
      </x:c>
      <x:c r="C126" s="35" t="n">
        <x:v>3117</x:v>
      </x:c>
      <x:c r="D126" s="36" t="n">
        <x:f>B126/C126*10000</x:f>
        <x:v>3.208213025344883</x:v>
      </x:c>
      <x:c r="E126" s="34" t="str">
        <x:f>IF(B126&gt;=5,"Yes","No")</x:f>
        <x:v>No</x:v>
      </x:c>
      <x:c r="F126" s="34" t="n">
        <x:v>103</x:v>
      </x:c>
      <x:c r="G126" s="34"/>
      <x:c r="H126" s="32" t="str">
        <x:v>Housing Ombudsman landlord report</x:v>
      </x:c>
      <x:c r="I126" s="69" t="str">
        <x:v>https://www.housing-ombudsman.org.uk/app/uploads/2025/09/Landlord-Report-Gateway-Housing-Association-Limited.pdf</x:v>
      </x:c>
      <x:c r="J126" s="32" t="str"/>
    </x:row>
    <x:row r="127" ht="31" customHeight="1">
      <x:c r="A127" s="37" t="str">
        <x:v>Hilldale Housing Association Limited</x:v>
      </x:c>
      <x:c r="B127" s="34" t="n">
        <x:v>1</x:v>
      </x:c>
      <x:c r="C127" s="35" t="n">
        <x:v>1121</x:v>
      </x:c>
      <x:c r="D127" s="36" t="n">
        <x:f>B127/C127*10000</x:f>
        <x:v>8.920606601248885</x:v>
      </x:c>
      <x:c r="E127" s="34" t="str">
        <x:f>IF(B127&gt;=5,"Yes","No")</x:f>
        <x:v>No</x:v>
      </x:c>
      <x:c r="F127" s="34" t="n">
        <x:v>103</x:v>
      </x:c>
      <x:c r="G127" s="34"/>
      <x:c r="H127" s="32" t="str">
        <x:v>RSH 2025 owned-or-managed proxy</x:v>
      </x:c>
      <x:c r="I127" s="69" t="str">
        <x:v>https://www.gov.uk/government/statistics/private-registered-provider-social-housing-stock-and-rents-in-england-2024-to-2025</x:v>
      </x:c>
      <x:c r="J127" s="32" t="str"/>
    </x:row>
    <x:row r="128" ht="31" customHeight="1">
      <x:c r="A128" s="37" t="str">
        <x:v>Aspire Housing Limited</x:v>
      </x:c>
      <x:c r="B128" s="34" t="n">
        <x:v>1</x:v>
      </x:c>
      <x:c r="C128" s="35" t="n">
        <x:v>9633</x:v>
      </x:c>
      <x:c r="D128" s="36" t="n">
        <x:f>B128/C128*10000</x:f>
        <x:v>1.0380982040901068</x:v>
      </x:c>
      <x:c r="E128" s="34" t="str">
        <x:f>IF(B128&gt;=5,"Yes","No")</x:f>
        <x:v>No</x:v>
      </x:c>
      <x:c r="F128" s="34" t="n">
        <x:v>103</x:v>
      </x:c>
      <x:c r="G128" s="34"/>
      <x:c r="H128" s="32" t="str">
        <x:v>Housing Ombudsman landlord report</x:v>
      </x:c>
      <x:c r="I128" s="69" t="str">
        <x:v>https://www.housing-ombudsman.org.uk/app/uploads/2025/09/Landlord-Report-Aspire-Housing-Limited.pdf</x:v>
      </x:c>
      <x:c r="J128" s="32" t="str"/>
    </x:row>
    <x:row r="129" ht="31" customHeight="1">
      <x:c r="A129" s="37" t="str">
        <x:v>Westward Housing Group Limited</x:v>
      </x:c>
      <x:c r="B129" s="34" t="n">
        <x:v>1</x:v>
      </x:c>
      <x:c r="C129" s="35" t="n">
        <x:v>7261</x:v>
      </x:c>
      <x:c r="D129" s="36" t="n">
        <x:f>B129/C129*10000</x:f>
        <x:v>1.3772207684891888</x:v>
      </x:c>
      <x:c r="E129" s="34" t="str">
        <x:f>IF(B129&gt;=5,"Yes","No")</x:f>
        <x:v>No</x:v>
      </x:c>
      <x:c r="F129" s="34" t="n">
        <x:v>103</x:v>
      </x:c>
      <x:c r="G129" s="34"/>
      <x:c r="H129" s="32" t="str">
        <x:v>Housing Ombudsman landlord report</x:v>
      </x:c>
      <x:c r="I129" s="69" t="str">
        <x:v>https://www.housing-ombudsman.org.uk/app/uploads/2025/09/Landlord-Report-Westward-Housing-Group-Limited.pdf</x:v>
      </x:c>
      <x:c r="J129" s="32" t="str"/>
    </x:row>
    <x:row r="130" ht="31" customHeight="1">
      <x:c r="A130" s="37" t="str">
        <x:v>Cobalt Housing Limited</x:v>
      </x:c>
      <x:c r="B130" s="34" t="n">
        <x:v>1</x:v>
      </x:c>
      <x:c r="C130" s="35" t="n">
        <x:v>5769</x:v>
      </x:c>
      <x:c r="D130" s="36" t="n">
        <x:f>B130/C130*10000</x:f>
        <x:v>1.733402669440111</x:v>
      </x:c>
      <x:c r="E130" s="34" t="str">
        <x:f>IF(B130&gt;=5,"Yes","No")</x:f>
        <x:v>No</x:v>
      </x:c>
      <x:c r="F130" s="34" t="n">
        <x:v>103</x:v>
      </x:c>
      <x:c r="G130" s="34"/>
      <x:c r="H130" s="32" t="str">
        <x:v>Housing Ombudsman landlord report</x:v>
      </x:c>
      <x:c r="I130" s="69" t="str">
        <x:v>https://www.housing-ombudsman.org.uk/app/uploads/2025/09/Landlord-Report-Cobalt-Housing-Limited.pdf</x:v>
      </x:c>
      <x:c r="J130" s="32" t="str"/>
    </x:row>
    <x:row r="131" ht="31" customHeight="1">
      <x:c r="A131" s="37" t="str">
        <x:v>Housing Solutions</x:v>
      </x:c>
      <x:c r="B131" s="34" t="n">
        <x:v>1</x:v>
      </x:c>
      <x:c r="C131" s="35" t="n">
        <x:v>6386</x:v>
      </x:c>
      <x:c r="D131" s="36" t="n">
        <x:f>B131/C131*10000</x:f>
        <x:v>1.5659254619480114</x:v>
      </x:c>
      <x:c r="E131" s="34" t="str">
        <x:f>IF(B131&gt;=5,"Yes","No")</x:f>
        <x:v>No</x:v>
      </x:c>
      <x:c r="F131" s="34" t="n">
        <x:v>103</x:v>
      </x:c>
      <x:c r="G131" s="34"/>
      <x:c r="H131" s="32" t="str">
        <x:v>Housing Ombudsman landlord report</x:v>
      </x:c>
      <x:c r="I131" s="69" t="str">
        <x:v>https://www.housing-ombudsman.org.uk/app/uploads/2025/09/Landlord-Report-Housing-Solutions.pdf</x:v>
      </x:c>
      <x:c r="J131" s="32" t="str"/>
    </x:row>
    <x:row r="132" ht="31" customHeight="1">
      <x:c r="A132" s="37" t="str">
        <x:v>My Space Housing Solutions</x:v>
      </x:c>
      <x:c r="B132" s="34" t="n">
        <x:v>1</x:v>
      </x:c>
      <x:c r="C132" s="35" t="n">
        <x:v>1478</x:v>
      </x:c>
      <x:c r="D132" s="36" t="n">
        <x:f>B132/C132*10000</x:f>
        <x:v>6.765899864682003</x:v>
      </x:c>
      <x:c r="E132" s="34" t="str">
        <x:f>IF(B132&gt;=5,"Yes","No")</x:f>
        <x:v>No</x:v>
      </x:c>
      <x:c r="F132" s="34" t="n">
        <x:v>103</x:v>
      </x:c>
      <x:c r="G132" s="34"/>
      <x:c r="H132" s="32" t="str">
        <x:v>RSH 2025 owned-or-managed proxy</x:v>
      </x:c>
      <x:c r="I132" s="69" t="str">
        <x:v>https://www.gov.uk/government/statistics/private-registered-provider-social-housing-stock-and-rents-in-england-2024-to-2025</x:v>
      </x:c>
      <x:c r="J132" s="32" t="str"/>
    </x:row>
    <x:row r="133" ht="31" customHeight="1">
      <x:c r="A133" s="37" t="str">
        <x:v>One Vision Housing Limited</x:v>
      </x:c>
      <x:c r="B133" s="34" t="n">
        <x:v>1</x:v>
      </x:c>
      <x:c r="C133" s="35" t="n">
        <x:v>13848</x:v>
      </x:c>
      <x:c r="D133" s="36" t="n">
        <x:f>B133/C133*10000</x:f>
        <x:v>0.7221259387637203</x:v>
      </x:c>
      <x:c r="E133" s="34" t="str">
        <x:f>IF(B133&gt;=5,"Yes","No")</x:f>
        <x:v>No</x:v>
      </x:c>
      <x:c r="F133" s="34" t="n">
        <x:v>103</x:v>
      </x:c>
      <x:c r="G133" s="34"/>
      <x:c r="H133" s="32" t="str">
        <x:v>Housing Ombudsman landlord report</x:v>
      </x:c>
      <x:c r="I133" s="69" t="str">
        <x:v>https://www.housing-ombudsman.org.uk/app/uploads/2025/09/Landlord-Report-One-Vision-Housing-Limited.pdf</x:v>
      </x:c>
      <x:c r="J133" s="32" t="str"/>
    </x:row>
    <x:row r="134" ht="31" customHeight="1">
      <x:c r="A134" s="37" t="str">
        <x:v>South Lakes Housing</x:v>
      </x:c>
      <x:c r="B134" s="34" t="n">
        <x:v>1</x:v>
      </x:c>
      <x:c r="C134" s="35" t="n">
        <x:v>3772</x:v>
      </x:c>
      <x:c r="D134" s="36" t="n">
        <x:f>B134/C134*10000</x:f>
        <x:v>2.651113467656416</x:v>
      </x:c>
      <x:c r="E134" s="34" t="str">
        <x:f>IF(B134&gt;=5,"Yes","No")</x:f>
        <x:v>No</x:v>
      </x:c>
      <x:c r="F134" s="34" t="n">
        <x:v>103</x:v>
      </x:c>
      <x:c r="G134" s="34"/>
      <x:c r="H134" s="32" t="str">
        <x:v>RSH 2025 owned-or-managed proxy</x:v>
      </x:c>
      <x:c r="I134" s="69" t="str">
        <x:v>https://www.gov.uk/government/statistics/private-registered-provider-social-housing-stock-and-rents-in-england-2024-to-2025</x:v>
      </x:c>
      <x:c r="J134" s="32" t="str"/>
    </x:row>
    <x:row r="135" ht="31" customHeight="1">
      <x:c r="A135" s="37" t="str">
        <x:v>The Extracare Charitable Trust</x:v>
      </x:c>
      <x:c r="B135" s="34" t="n">
        <x:v>1</x:v>
      </x:c>
      <x:c r="C135" s="35" t="n">
        <x:v>3603</x:v>
      </x:c>
      <x:c r="D135" s="36" t="n">
        <x:f>B135/C135*10000</x:f>
        <x:v>2.775464890369137</x:v>
      </x:c>
      <x:c r="E135" s="34" t="str">
        <x:f>IF(B135&gt;=5,"Yes","No")</x:f>
        <x:v>No</x:v>
      </x:c>
      <x:c r="F135" s="34" t="n">
        <x:v>103</x:v>
      </x:c>
      <x:c r="G135" s="34"/>
      <x:c r="H135" s="32" t="str">
        <x:v>RSH 2025 owned-or-managed proxy</x:v>
      </x:c>
      <x:c r="I135" s="69" t="str">
        <x:v>https://www.gov.uk/government/statistics/private-registered-provider-social-housing-stock-and-rents-in-england-2024-to-2025</x:v>
      </x:c>
      <x:c r="J135" s="32" t="str">
        <x:v>Matched to RSH spelling: The ExtraCare Charitable Trust.</x:v>
      </x:c>
    </x:row>
    <x:row r="136" ht="31" customHeight="1">
      <x:c r="A136" s="37" t="str">
        <x:v>Stockport Homes Limited</x:v>
      </x:c>
      <x:c r="B136" s="34" t="n">
        <x:v>1</x:v>
      </x:c>
      <x:c r="C136" s="35" t="n">
        <x:v>11854</x:v>
      </x:c>
      <x:c r="D136" s="36" t="n">
        <x:f>B136/C136*10000</x:f>
        <x:v>0.8435970980259827</x:v>
      </x:c>
      <x:c r="E136" s="34" t="str">
        <x:f>IF(B136&gt;=5,"Yes","No")</x:f>
        <x:v>No</x:v>
      </x:c>
      <x:c r="F136" s="34" t="n">
        <x:v>103</x:v>
      </x:c>
      <x:c r="G136" s="34"/>
      <x:c r="H136" s="32" t="str">
        <x:v>Housing Ombudsman landlord report</x:v>
      </x:c>
      <x:c r="I136" s="69" t="str">
        <x:v>https://www.housing-ombudsman.org.uk/app/uploads/2025/09/Landlord-Report-Stockport-Homes-Limited.pdf</x:v>
      </x:c>
      <x:c r="J136" s="32" t="str"/>
    </x:row>
    <x:row r="137" ht="31" customHeight="1">
      <x:c r="A137" s="37" t="str">
        <x:v>Sandbourne Housing Association</x:v>
      </x:c>
      <x:c r="B137" s="34" t="n">
        <x:v>1</x:v>
      </x:c>
      <x:c r="C137" s="35" t="n">
        <x:v>485</x:v>
      </x:c>
      <x:c r="D137" s="36" t="n">
        <x:f>B137/C137*10000</x:f>
        <x:v>20.61855670103093</x:v>
      </x:c>
      <x:c r="E137" s="34" t="str">
        <x:f>IF(B137&gt;=5,"Yes","No")</x:f>
        <x:v>No</x:v>
      </x:c>
      <x:c r="F137" s="34" t="n">
        <x:v>103</x:v>
      </x:c>
      <x:c r="G137" s="34"/>
      <x:c r="H137" s="32" t="str">
        <x:v>RSH 2025 owned-or-managed proxy</x:v>
      </x:c>
      <x:c r="I137" s="69" t="str">
        <x:v>https://www.gov.uk/government/statistics/private-registered-provider-social-housing-stock-and-rents-in-england-2024-to-2025</x:v>
      </x:c>
      <x:c r="J137" s="32" t="str"/>
    </x:row>
    <x:row r="138" ht="31" customHeight="1">
      <x:c r="A138" s="37" t="str">
        <x:v>Settle Group</x:v>
      </x:c>
      <x:c r="B138" s="34" t="n">
        <x:v>1</x:v>
      </x:c>
      <x:c r="C138" s="35" t="n">
        <x:v>10245</x:v>
      </x:c>
      <x:c r="D138" s="36" t="n">
        <x:f>B138/C138*10000</x:f>
        <x:v>0.9760858955588091</x:v>
      </x:c>
      <x:c r="E138" s="34" t="str">
        <x:f>IF(B138&gt;=5,"Yes","No")</x:f>
        <x:v>No</x:v>
      </x:c>
      <x:c r="F138" s="34" t="n">
        <x:v>103</x:v>
      </x:c>
      <x:c r="G138" s="34"/>
      <x:c r="H138" s="32" t="str">
        <x:v>Housing Ombudsman landlord report</x:v>
      </x:c>
      <x:c r="I138" s="69" t="str">
        <x:v>https://www.housing-ombudsman.org.uk/app/uploads/2025/09/Landlord-Report-Settle-Group.pdf</x:v>
      </x:c>
      <x:c r="J138" s="32" t="str"/>
    </x:row>
    <x:row r="139" ht="31" customHeight="1">
      <x:c r="A139" s="37" t="str">
        <x:v>Magna Housing Limited</x:v>
      </x:c>
      <x:c r="B139" s="34" t="n">
        <x:v>1</x:v>
      </x:c>
      <x:c r="C139" s="35" t="n">
        <x:v>8931</x:v>
      </x:c>
      <x:c r="D139" s="36" t="n">
        <x:f>B139/C139*10000</x:f>
        <x:v>1.1196954428395476</x:v>
      </x:c>
      <x:c r="E139" s="34" t="str">
        <x:f>IF(B139&gt;=5,"Yes","No")</x:f>
        <x:v>No</x:v>
      </x:c>
      <x:c r="F139" s="34" t="n">
        <x:v>103</x:v>
      </x:c>
      <x:c r="G139" s="34"/>
      <x:c r="H139" s="32" t="str">
        <x:v>Housing Ombudsman landlord report</x:v>
      </x:c>
      <x:c r="I139" s="69" t="str">
        <x:v>https://www.housing-ombudsman.org.uk/app/uploads/2025/09/Landlord-Report-Magna-Housing-Limited.pdf</x:v>
      </x:c>
      <x:c r="J139" s="32" t="str"/>
    </x:row>
    <x:row r="140" ht="31" customHeight="1">
      <x:c r="A140" s="37" t="str">
        <x:v>West Kent Housing Association</x:v>
      </x:c>
      <x:c r="B140" s="34" t="n">
        <x:v>1</x:v>
      </x:c>
      <x:c r="C140" s="35" t="n">
        <x:v>8516</x:v>
      </x:c>
      <x:c r="D140" s="36" t="n">
        <x:f>B140/C140*10000</x:f>
        <x:v>1.1742602160638798</x:v>
      </x:c>
      <x:c r="E140" s="34" t="str">
        <x:f>IF(B140&gt;=5,"Yes","No")</x:f>
        <x:v>No</x:v>
      </x:c>
      <x:c r="F140" s="34" t="n">
        <x:v>103</x:v>
      </x:c>
      <x:c r="G140" s="34"/>
      <x:c r="H140" s="32" t="str">
        <x:v>Housing Ombudsman landlord report</x:v>
      </x:c>
      <x:c r="I140" s="69" t="str">
        <x:v>https://www.housing-ombudsman.org.uk/app/uploads/2025/09/Landlord-Report-West-Kent-Housing-Association.pdf</x:v>
      </x:c>
      <x:c r="J140" s="32" t="str"/>
    </x:row>
    <x:row r="141" ht="31" customHeight="1">
      <x:c r="A141" s="37" t="str">
        <x:v>Peak District Rural Housing Association Limited</x:v>
      </x:c>
      <x:c r="B141" s="34" t="n">
        <x:v>1</x:v>
      </x:c>
      <x:c r="C141" s="35" t="n">
        <x:v>318</x:v>
      </x:c>
      <x:c r="D141" s="36" t="n">
        <x:f>B141/C141*10000</x:f>
        <x:v>31.446540880503147</x:v>
      </x:c>
      <x:c r="E141" s="34" t="str">
        <x:f>IF(B141&gt;=5,"Yes","No")</x:f>
        <x:v>No</x:v>
      </x:c>
      <x:c r="F141" s="34" t="n">
        <x:v>103</x:v>
      </x:c>
      <x:c r="G141" s="34"/>
      <x:c r="H141" s="32" t="str">
        <x:v>RSH 2025 owned-or-managed proxy</x:v>
      </x:c>
      <x:c r="I141" s="69" t="str">
        <x:v>https://www.gov.uk/government/statistics/private-registered-provider-social-housing-stock-and-rents-in-england-2024-to-2025</x:v>
      </x:c>
      <x:c r="J141" s="32" t="str"/>
    </x:row>
    <x:row r="142" ht="31" customHeight="1">
      <x:c r="A142" s="37" t="str">
        <x:v>Fairhive Homes Limited</x:v>
      </x:c>
      <x:c r="B142" s="34" t="n">
        <x:v>1</x:v>
      </x:c>
      <x:c r="C142" s="35" t="n">
        <x:v>9501</x:v>
      </x:c>
      <x:c r="D142" s="36" t="n">
        <x:f>B142/C142*10000</x:f>
        <x:v>1.0525207872855489</x:v>
      </x:c>
      <x:c r="E142" s="34" t="str">
        <x:f>IF(B142&gt;=5,"Yes","No")</x:f>
        <x:v>No</x:v>
      </x:c>
      <x:c r="F142" s="34" t="n">
        <x:v>103</x:v>
      </x:c>
      <x:c r="G142" s="34"/>
      <x:c r="H142" s="32" t="str">
        <x:v>Housing Ombudsman landlord report</x:v>
      </x:c>
      <x:c r="I142" s="69" t="str">
        <x:v>https://www.housing-ombudsman.org.uk/app/uploads/2025/09/Landlord-Report-Fairhive-Homes-Limited.pdf</x:v>
      </x:c>
      <x:c r="J142" s="32" t="str"/>
    </x:row>
    <x:row r="143" ht="31" customHeight="1">
      <x:c r="A143" s="37" t="str">
        <x:v>Women’s Pioneer Housing Limited</x:v>
      </x:c>
      <x:c r="B143" s="34" t="n">
        <x:v>1</x:v>
      </x:c>
      <x:c r="C143" s="35" t="n">
        <x:v>1000</x:v>
      </x:c>
      <x:c r="D143" s="36" t="n">
        <x:f>B143/C143*10000</x:f>
        <x:v>10</x:v>
      </x:c>
      <x:c r="E143" s="34" t="str">
        <x:f>IF(B143&gt;=5,"Yes","No")</x:f>
        <x:v>No</x:v>
      </x:c>
      <x:c r="F143" s="34" t="n">
        <x:v>103</x:v>
      </x:c>
      <x:c r="G143" s="34"/>
      <x:c r="H143" s="32" t="str">
        <x:v>RSH 2025 owned-or-managed proxy</x:v>
      </x:c>
      <x:c r="I143" s="69" t="str">
        <x:v>https://www.gov.uk/government/statistics/private-registered-provider-social-housing-stock-and-rents-in-england-2024-to-2025</x:v>
      </x:c>
      <x:c r="J143" s="32" t="str">
        <x:v>Matched to RSH spelling: Women's Pioneer Housing Limited.</x:v>
      </x:c>
    </x:row>
    <x:row r="144" ht="31" customHeight="1">
      <x:c r="A144" s="37" t="str">
        <x:v>Beyond Housing Limited</x:v>
      </x:c>
      <x:c r="B144" s="34" t="n">
        <x:v>1</x:v>
      </x:c>
      <x:c r="C144" s="35" t="n">
        <x:v>15613</x:v>
      </x:c>
      <x:c r="D144" s="36" t="n">
        <x:f>B144/C144*10000</x:f>
        <x:v>0.6404918977774932</x:v>
      </x:c>
      <x:c r="E144" s="34" t="str">
        <x:f>IF(B144&gt;=5,"Yes","No")</x:f>
        <x:v>No</x:v>
      </x:c>
      <x:c r="F144" s="34" t="n">
        <x:v>103</x:v>
      </x:c>
      <x:c r="G144" s="34"/>
      <x:c r="H144" s="32" t="str">
        <x:v>Housing Ombudsman landlord report</x:v>
      </x:c>
      <x:c r="I144" s="69" t="str">
        <x:v>https://www.housing-ombudsman.org.uk/app/uploads/2025/09/Landlord-Report-Beyond-Housing-Limited.pdf</x:v>
      </x:c>
      <x:c r="J144" s="32" t="str"/>
    </x:row>
    <x:row r="145" ht="31" customHeight="1">
      <x:c r="A145" s="37" t="str">
        <x:v>Ocean Housing Limited</x:v>
      </x:c>
      <x:c r="B145" s="34" t="n">
        <x:v>1</x:v>
      </x:c>
      <x:c r="C145" s="35" t="n">
        <x:v>4467</x:v>
      </x:c>
      <x:c r="D145" s="36" t="n">
        <x:f>B145/C145*10000</x:f>
        <x:v>2.238638907544213</x:v>
      </x:c>
      <x:c r="E145" s="34" t="str">
        <x:f>IF(B145&gt;=5,"Yes","No")</x:f>
        <x:v>No</x:v>
      </x:c>
      <x:c r="F145" s="34" t="n">
        <x:v>103</x:v>
      </x:c>
      <x:c r="G145" s="34"/>
      <x:c r="H145" s="32" t="str">
        <x:v>Housing Ombudsman landlord report</x:v>
      </x:c>
      <x:c r="I145" s="69" t="str">
        <x:v>https://www.housing-ombudsman.org.uk/app/uploads/2025/10/Landlord-Report-Ocean-Housing-Limited-re-run-23-Oct.pdf</x:v>
      </x:c>
      <x:c r="J145" s="32" t="str"/>
    </x:row>
    <x:row r="146" ht="31" customHeight="1">
      <x:c r="A146" s="37" t="str">
        <x:v>Mosscare St. Vincent’s Housing Group Limited</x:v>
      </x:c>
      <x:c r="B146" s="34" t="n">
        <x:v>1</x:v>
      </x:c>
      <x:c r="C146" s="35" t="n">
        <x:v>8957</x:v>
      </x:c>
      <x:c r="D146" s="36" t="n">
        <x:f>B146/C146*10000</x:f>
        <x:v>1.1164452383610584</x:v>
      </x:c>
      <x:c r="E146" s="34" t="str">
        <x:f>IF(B146&gt;=5,"Yes","No")</x:f>
        <x:v>No</x:v>
      </x:c>
      <x:c r="F146" s="34" t="n">
        <x:v>103</x:v>
      </x:c>
      <x:c r="G146" s="34"/>
      <x:c r="H146" s="32" t="str">
        <x:v>RSH 2025 owned-or-managed proxy</x:v>
      </x:c>
      <x:c r="I146" s="69" t="str">
        <x:v>https://www.gov.uk/government/statistics/private-registered-provider-social-housing-stock-and-rents-in-england-2024-to-2025</x:v>
      </x:c>
      <x:c r="J146" s="32" t="str">
        <x:v>Matched to RSH spelling: Mosscare St. Vincent's Housing Group Limited.</x:v>
      </x:c>
    </x:row>
    <x:row r="147" ht="31" customHeight="1">
      <x:c r="A147" s="37" t="str">
        <x:v>The Sir Oswald Stoll Foundation</x:v>
      </x:c>
      <x:c r="B147" s="34" t="n">
        <x:v>1</x:v>
      </x:c>
      <x:c r="C147" s="35" t="n">
        <x:v>488</x:v>
      </x:c>
      <x:c r="D147" s="36" t="n">
        <x:f>B147/C147*10000</x:f>
        <x:v>20.491803278688526</x:v>
      </x:c>
      <x:c r="E147" s="34" t="str">
        <x:f>IF(B147&gt;=5,"Yes","No")</x:f>
        <x:v>No</x:v>
      </x:c>
      <x:c r="F147" s="34" t="n">
        <x:v>103</x:v>
      </x:c>
      <x:c r="G147" s="34"/>
      <x:c r="H147" s="32" t="str">
        <x:v>RSH 2025 owned-or-managed proxy</x:v>
      </x:c>
      <x:c r="I147" s="69" t="str">
        <x:v>https://www.gov.uk/government/statistics/private-registered-provider-social-housing-stock-and-rents-in-england-2024-to-2025</x:v>
      </x:c>
      <x:c r="J147" s="32" t="str"/>
    </x:row>
    <x:row r="148" ht="31" customHeight="1">
      <x:c r="A148" s="37" t="str">
        <x:v>Ability Housing Association</x:v>
      </x:c>
      <x:c r="B148" s="34" t="n">
        <x:v>1</x:v>
      </x:c>
      <x:c r="C148" s="35" t="n">
        <x:v>658</x:v>
      </x:c>
      <x:c r="D148" s="36" t="n">
        <x:f>B148/C148*10000</x:f>
        <x:v>15.19756838905775</x:v>
      </x:c>
      <x:c r="E148" s="34" t="str">
        <x:f>IF(B148&gt;=5,"Yes","No")</x:f>
        <x:v>No</x:v>
      </x:c>
      <x:c r="F148" s="34" t="n">
        <x:v>103</x:v>
      </x:c>
      <x:c r="G148" s="34"/>
      <x:c r="H148" s="32" t="str">
        <x:v>RSH 2025 owned-or-managed proxy</x:v>
      </x:c>
      <x:c r="I148" s="69" t="str">
        <x:v>https://www.gov.uk/government/statistics/private-registered-provider-social-housing-stock-and-rents-in-england-2024-to-2025</x:v>
      </x:c>
      <x:c r="J148" s="32" t="str"/>
    </x:row>
    <x:row r="149" ht="31" customHeight="1">
      <x:c r="A149" s="37" t="str">
        <x:v>Halton Housing</x:v>
      </x:c>
      <x:c r="B149" s="34" t="n">
        <x:v>1</x:v>
      </x:c>
      <x:c r="C149" s="35" t="n">
        <x:v>7553</x:v>
      </x:c>
      <x:c r="D149" s="36" t="n">
        <x:f>B149/C149*10000</x:f>
        <x:v>1.3239772275916855</x:v>
      </x:c>
      <x:c r="E149" s="34" t="str">
        <x:f>IF(B149&gt;=5,"Yes","No")</x:f>
        <x:v>No</x:v>
      </x:c>
      <x:c r="F149" s="34" t="n">
        <x:v>103</x:v>
      </x:c>
      <x:c r="G149" s="34"/>
      <x:c r="H149" s="32" t="str">
        <x:v>Housing Ombudsman landlord report</x:v>
      </x:c>
      <x:c r="I149" s="69" t="str">
        <x:v>https://www.housing-ombudsman.org.uk/app/uploads/2025/09/Landlord-Report-Halton-Housing.pdf</x:v>
      </x:c>
      <x:c r="J149" s="32" t="str"/>
    </x:row>
    <x:row r="150" ht="31" customHeight="1">
      <x:c r="A150" s="37" t="str">
        <x:v>North Devon Homes</x:v>
      </x:c>
      <x:c r="B150" s="34" t="n">
        <x:v>1</x:v>
      </x:c>
      <x:c r="C150" s="35" t="n">
        <x:v>3440</x:v>
      </x:c>
      <x:c r="D150" s="36" t="n">
        <x:f>B150/C150*10000</x:f>
        <x:v>2.9069767441860463</x:v>
      </x:c>
      <x:c r="E150" s="34" t="str">
        <x:f>IF(B150&gt;=5,"Yes","No")</x:f>
        <x:v>No</x:v>
      </x:c>
      <x:c r="F150" s="34" t="n">
        <x:v>103</x:v>
      </x:c>
      <x:c r="G150" s="34"/>
      <x:c r="H150" s="32" t="str">
        <x:v>Housing Ombudsman landlord report</x:v>
      </x:c>
      <x:c r="I150" s="69" t="str">
        <x:v>https://www.housing-ombudsman.org.uk/app/uploads/2025/09/Landlord-Report-North-Devon-Homes.pdf</x:v>
      </x:c>
      <x:c r="J150" s="32" t="str"/>
    </x:row>
    <x:row r="151" ht="31" customHeight="1">
      <x:c r="A151" s="37" t="str">
        <x:v>Phoenix Community Housing Association (Bellingham and Downham) Limited</x:v>
      </x:c>
      <x:c r="B151" s="34" t="n">
        <x:v>1</x:v>
      </x:c>
      <x:c r="C151" s="35" t="n">
        <x:v>7677</x:v>
      </x:c>
      <x:c r="D151" s="36" t="n">
        <x:f>B151/C151*10000</x:f>
        <x:v>1.3025921583952065</x:v>
      </x:c>
      <x:c r="E151" s="34" t="str">
        <x:f>IF(B151&gt;=5,"Yes","No")</x:f>
        <x:v>No</x:v>
      </x:c>
      <x:c r="F151" s="34" t="n">
        <x:v>103</x:v>
      </x:c>
      <x:c r="G151" s="34"/>
      <x:c r="H151" s="32" t="str">
        <x:v>Housing Ombudsman landlord report</x:v>
      </x:c>
      <x:c r="I151" s="69" t="str">
        <x:v>https://www.housing-ombudsman.org.uk/app/uploads/2025/09/Landlord-Report-Phoenix-Community-Housing-Association-Bellingham-and-Downham-Limited.pdf</x:v>
      </x:c>
      <x:c r="J151" s="32" t="str"/>
    </x:row>
    <x:row r="152" ht="31" customHeight="1">
      <x:c r="A152" s="37" t="str">
        <x:v>Saxon Weald</x:v>
      </x:c>
      <x:c r="B152" s="34" t="n">
        <x:v>1</x:v>
      </x:c>
      <x:c r="C152" s="35" t="n">
        <x:v>6850</x:v>
      </x:c>
      <x:c r="D152" s="36" t="n">
        <x:f>B152/C152*10000</x:f>
        <x:v>1.4598540145985404</x:v>
      </x:c>
      <x:c r="E152" s="34" t="str">
        <x:f>IF(B152&gt;=5,"Yes","No")</x:f>
        <x:v>No</x:v>
      </x:c>
      <x:c r="F152" s="34" t="n">
        <x:v>103</x:v>
      </x:c>
      <x:c r="G152" s="34"/>
      <x:c r="H152" s="32" t="str">
        <x:v>Housing Ombudsman landlord report</x:v>
      </x:c>
      <x:c r="I152" s="69" t="str">
        <x:v>https://www.housing-ombudsman.org.uk/app/uploads/2025/09/Landlord-Report-Saxon-Weald.pdf</x:v>
      </x:c>
      <x:c r="J152" s="32" t="str"/>
    </x:row>
    <x:row r="153" ht="31" customHeight="1">
      <x:c r="A153" s="37" t="str">
        <x:v>Prima Housing Group Limited</x:v>
      </x:c>
      <x:c r="B153" s="34" t="n">
        <x:v>1</x:v>
      </x:c>
      <x:c r="C153" s="35" t="n">
        <x:v>2836</x:v>
      </x:c>
      <x:c r="D153" s="36" t="n">
        <x:f>B153/C153*10000</x:f>
        <x:v>3.5260930888575457</x:v>
      </x:c>
      <x:c r="E153" s="34" t="str">
        <x:f>IF(B153&gt;=5,"Yes","No")</x:f>
        <x:v>No</x:v>
      </x:c>
      <x:c r="F153" s="34" t="n">
        <x:v>103</x:v>
      </x:c>
      <x:c r="G153" s="34"/>
      <x:c r="H153" s="32" t="str">
        <x:v>Housing Ombudsman landlord report</x:v>
      </x:c>
      <x:c r="I153" s="69" t="str">
        <x:v>https://www.housing-ombudsman.org.uk/app/uploads/2025/09/Landlord-Report-Prima-Housing-Group-Limited.pdf</x:v>
      </x:c>
      <x:c r="J153" s="32" t="str"/>
    </x:row>
    <x:row r="154" ht="31" customHeight="1">
      <x:c r="A154" s="37" t="str">
        <x:v>Housing For Women</x:v>
      </x:c>
      <x:c r="B154" s="34" t="n">
        <x:v>1</x:v>
      </x:c>
      <x:c r="C154" s="35" t="n">
        <x:v>839</x:v>
      </x:c>
      <x:c r="D154" s="36" t="n">
        <x:f>B154/C154*10000</x:f>
        <x:v>11.918951132300357</x:v>
      </x:c>
      <x:c r="E154" s="34" t="str">
        <x:f>IF(B154&gt;=5,"Yes","No")</x:f>
        <x:v>No</x:v>
      </x:c>
      <x:c r="F154" s="34" t="n">
        <x:v>103</x:v>
      </x:c>
      <x:c r="G154" s="34"/>
      <x:c r="H154" s="32" t="str">
        <x:v>Housing Ombudsman landlord report</x:v>
      </x:c>
      <x:c r="I154" s="69" t="str">
        <x:v>https://www.housing-ombudsman.org.uk/app/uploads/2025/09/Landlord-Report-Housing-For-Women.pdf</x:v>
      </x:c>
      <x:c r="J154" s="32" t="str"/>
    </x:row>
    <x:row r="155" ht="31" customHeight="1">
      <x:c r="A155" s="37" t="str">
        <x:v>Weaver Vale Housing Trust Limited</x:v>
      </x:c>
      <x:c r="B155" s="34" t="n">
        <x:v>1</x:v>
      </x:c>
      <x:c r="C155" s="35" t="n">
        <x:v>6727</x:v>
      </x:c>
      <x:c r="D155" s="36" t="n">
        <x:f>B155/C155*10000</x:f>
        <x:v>1.486546751895347</x:v>
      </x:c>
      <x:c r="E155" s="34" t="str">
        <x:f>IF(B155&gt;=5,"Yes","No")</x:f>
        <x:v>No</x:v>
      </x:c>
      <x:c r="F155" s="34" t="n">
        <x:v>103</x:v>
      </x:c>
      <x:c r="G155" s="34"/>
      <x:c r="H155" s="32" t="str">
        <x:v>RSH 2025 owned-or-managed proxy</x:v>
      </x:c>
      <x:c r="I155" s="69" t="str">
        <x:v>https://www.gov.uk/government/statistics/private-registered-provider-social-housing-stock-and-rents-in-england-2024-to-2025</x:v>
      </x:c>
      <x:c r="J155" s="32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  <x:col min="3" max="3" width="58" hidden="0" customWidth="1"/>
    <x:col min="4" max="4" width="42" hidden="0" customWidth="1"/>
    <x:col min="5" max="5" width="14" hidden="0" customWidth="1"/>
    <x:col min="6" max="6" width="14" hidden="0" customWidth="1"/>
  </x:cols>
  <x:sheetData>
    <x:row r="1">
      <x:c r="A1" s="4" t="str">
        <x:v>Methodology, sources and limitations</x:v>
      </x:c>
      <x:c r="B1" s="4"/>
      <x:c r="C1" s="4"/>
      <x:c r="D1" s="4"/>
      <x:c r="E1" s="4"/>
      <x:c r="F1" s="4"/>
    </x:row>
    <x:row r="2">
      <x:c r="A2" s="7" t="str">
        <x:v>Purpose: test whether a raw-count league table changes after allowing for landlord size.</x:v>
      </x:c>
      <x:c r="B2" s="7"/>
      <x:c r="C2" s="7"/>
      <x:c r="D2" s="7"/>
      <x:c r="E2" s="7"/>
      <x:c r="F2" s="7"/>
    </x:row>
    <x:row r="4">
      <x:c r="A4" s="29" t="str">
        <x:v>Item</x:v>
      </x:c>
      <x:c r="B4" s="29" t="str">
        <x:v>Method / value</x:v>
      </x:c>
    </x:row>
    <x:row r="5" ht="44" customHeight="1">
      <x:c r="A5" s="72" t="str">
        <x:v>Numerator</x:v>
      </x:c>
      <x:c r="B5" s="32" t="str">
        <x:v>Unique Housing Ombudsman decision archive entries returned for housing associations, with decision dates from 1 January to 4 September 2026 inclusive.</x:v>
      </x:c>
    </x:row>
    <x:row r="6" ht="44" customHeight="1">
      <x:c r="A6" s="72" t="str">
        <x:v>Numerator total</x:v>
      </x:c>
      <x:c r="B6" s="32" t="str">
        <x:v>1,186 published determinations across 151 provider labels.</x:v>
      </x:c>
    </x:row>
    <x:row r="7" ht="44" customHeight="1">
      <x:c r="A7" s="72" t="str">
        <x:v>Primary denominator</x:v>
      </x:c>
      <x:c r="B7" s="32" t="str">
        <x:v>Housing Ombudsman 2024-25 landlord reports: homes owned or managed under Ombudsman jurisdiction at 31 March 2025.</x:v>
      </x:c>
    </x:row>
    <x:row r="8" ht="44" customHeight="1">
      <x:c r="A8" s="72" t="str">
        <x:v>Fallback denominator</x:v>
      </x:c>
      <x:c r="B8" s="32" t="str">
        <x:v>Regulator of Social Housing 2024-25 Statistical Data Return: social and non-social housing owned or managed, as at 31 March 2025. This is a proxy for Ombudsman-jurisdiction homes.</x:v>
      </x:c>
    </x:row>
    <x:row r="9" ht="44" customHeight="1">
      <x:c r="A9" s="72" t="str">
        <x:v>Rate</x:v>
      </x:c>
      <x:c r="B9" s="32" t="str">
        <x:v>Published determinations divided by landlord homes, multiplied by 10,000.</x:v>
      </x:c>
    </x:row>
    <x:row r="10" ht="44" customHeight="1">
      <x:c r="A10" s="72" t="str">
        <x:v>Headline threshold</x:v>
      </x:c>
      <x:c r="B10" s="32" t="str">
        <x:v>At least 5 published determinations. This reduces unstable rates from very small numerators; it does not remove all sampling volatility.</x:v>
      </x:c>
    </x:row>
    <x:row r="11" ht="44" customHeight="1">
      <x:c r="A11" s="72" t="str">
        <x:v>Provider identity</x:v>
      </x:c>
      <x:c r="B11" s="32" t="str">
        <x:v>Provider labels are kept as published in the archive. Corporate-group aliases, subsidiaries and mergers are not automatically consolidated. In particular, Orbit appears under two labels.</x:v>
      </x:c>
    </x:row>
    <x:row r="12" ht="44" customHeight="1">
      <x:c r="A12" s="72" t="str">
        <x:v>Outcome caveat</x:v>
      </x:c>
      <x:c r="B12" s="32" t="str">
        <x:v>The numerator counts decisions, not maladministration findings. It does not weight outcome, severity, compensation, complaint volumes, tenure mix or residents' propensity to escalate.</x:v>
      </x:c>
    </x:row>
    <x:row r="13" ht="44" customHeight="1">
      <x:c r="A13" s="72" t="str">
        <x:v>Publication lag</x:v>
      </x:c>
      <x:c r="B13" s="32" t="str">
        <x:v>The archive is a publication series, not a real-time incident series. Decisions are normally published after the final determination, so YTD counts are incomplete and timing can differ by landlord.</x:v>
      </x:c>
    </x:row>
    <x:row r="14" ht="44" customHeight="1">
      <x:c r="A14" s="72" t="str">
        <x:v>Denominator timing</x:v>
      </x:c>
      <x:c r="B14" s="32" t="str">
        <x:v>The latest consistent public denominator predates the 2026 numerator. Mergers, transfers and growth since 31 March 2025 can distort rates.</x:v>
      </x:c>
    </x:row>
    <x:row r="17">
      <x:c r="A17" s="73" t="str">
        <x:v>Sensitivity to minimum-count threshold</x:v>
      </x:c>
      <x:c r="B17" s="73"/>
      <x:c r="C17" s="73"/>
      <x:c r="D17" s="73"/>
    </x:row>
    <x:row r="18">
      <x:c r="A18" s="29" t="str">
        <x:v>Minimum determinations</x:v>
      </x:c>
      <x:c r="B18" s="29" t="str">
        <x:v>Providers included</x:v>
      </x:c>
      <x:c r="C18" s="29" t="str">
        <x:v>Peabody adjusted rank</x:v>
      </x:c>
      <x:c r="D18" s="29" t="str">
        <x:v>Comment</x:v>
      </x:c>
    </x:row>
    <x:row r="19">
      <x:c r="A19" s="32" t="n">
        <x:v>0</x:v>
      </x:c>
      <x:c r="B19" s="32" t="n">
        <x:v>151</x:v>
      </x:c>
      <x:c r="C19" s="32" t="n">
        <x:v>32</x:v>
      </x:c>
      <x:c r="D19" s="32" t="str">
        <x:v>Tiny one-case landlords dominate.</x:v>
      </x:c>
    </x:row>
    <x:row r="20">
      <x:c r="A20" s="32" t="n">
        <x:v>3</x:v>
      </x:c>
      <x:c r="B20" s="32" t="n">
        <x:v>73</x:v>
      </x:c>
      <x:c r="C20" s="32" t="n">
        <x:v>16</x:v>
      </x:c>
      <x:c r="D20" s="32" t="str">
        <x:v>Intermediate check.</x:v>
      </x:c>
    </x:row>
    <x:row r="21">
      <x:c r="A21" s="49" t="n">
        <x:v>5</x:v>
      </x:c>
      <x:c r="B21" s="49" t="n">
        <x:v>45</x:v>
      </x:c>
      <x:c r="C21" s="49" t="n">
        <x:v>15</x:v>
      </x:c>
      <x:c r="D21" s="49" t="str">
        <x:v>Headline specification used in this workbook.</x:v>
      </x:c>
    </x:row>
    <x:row r="22">
      <x:c r="A22" s="32" t="n">
        <x:v>10</x:v>
      </x:c>
      <x:c r="B22" s="32" t="n">
        <x:v>25</x:v>
      </x:c>
      <x:c r="C22" s="32" t="n">
        <x:v>9</x:v>
      </x:c>
      <x:c r="D22" s="32" t="str">
        <x:v>More stable, but excludes many landlords.</x:v>
      </x:c>
    </x:row>
    <x:row r="23">
      <x:c r="A23" s="32" t="n">
        <x:v>20</x:v>
      </x:c>
      <x:c r="B23" s="32" t="n">
        <x:v>15</x:v>
      </x:c>
      <x:c r="C23" s="32" t="n">
        <x:v>9</x:v>
      </x:c>
      <x:c r="D23" s="32" t="str">
        <x:v>More stable, but excludes many landlords.</x:v>
      </x:c>
    </x:row>
    <x:row r="26">
      <x:c r="A26" s="73" t="str">
        <x:v>Primary sources</x:v>
      </x:c>
      <x:c r="B26" s="73"/>
      <x:c r="C26" s="73"/>
    </x:row>
    <x:row r="27">
      <x:c r="A27" s="29" t="str">
        <x:v>Source</x:v>
      </x:c>
      <x:c r="B27" s="29" t="str">
        <x:v>Use</x:v>
      </x:c>
      <x:c r="C27" s="29" t="str">
        <x:v>URL</x:v>
      </x:c>
    </x:row>
    <x:row r="28" ht="44" customHeight="1">
      <x:c r="A28" s="32" t="str">
        <x:v>Housing Ombudsman decisions archive</x:v>
      </x:c>
      <x:c r="B28" s="32" t="str">
        <x:v>2026 YTD numerator</x:v>
      </x:c>
      <x:c r="C28" s="69" t="str">
        <x:v>https://www.housing-ombudsman.org.uk/decisions/</x:v>
      </x:c>
    </x:row>
    <x:row r="29" ht="44" customHeight="1">
      <x:c r="A29" s="32" t="str">
        <x:v>Housing Ombudsman 2024-25 guidance</x:v>
      </x:c>
      <x:c r="B29" s="32" t="str">
        <x:v>Definition and date of landlord homes</x:v>
      </x:c>
      <x:c r="C29" s="69" t="str">
        <x:v>https://www.housing-ombudsman.org.uk/app/uploads/2025/09/Landlord-Performance-Report-2024-25-Guidance-Note.pdf</x:v>
      </x:c>
    </x:row>
    <x:row r="30" ht="44" customHeight="1">
      <x:c r="A30" s="32" t="str">
        <x:v>Housing Ombudsman landlord reports</x:v>
      </x:c>
      <x:c r="B30" s="32" t="str">
        <x:v>Primary provider denominators</x:v>
      </x:c>
      <x:c r="C30" s="69" t="str">
        <x:v>https://www.housing-ombudsman.org.uk/annual-complaint-review-reports/annual-complaints-review-2024-25/</x:v>
      </x:c>
    </x:row>
    <x:row r="31" ht="44" customHeight="1">
      <x:c r="A31" s="32" t="str">
        <x:v>Regulator of Social Housing SDR 2024-25</x:v>
      </x:c>
      <x:c r="B31" s="32" t="str">
        <x:v>Fallback provider denominators</x:v>
      </x:c>
      <x:c r="C31" s="69" t="str">
        <x:v>https://www.gov.uk/government/statistics/private-registered-provider-social-housing-stock-and-rents-in-england-2024-to-2025</x:v>
      </x:c>
    </x:row>
    <x:row r="32" ht="44" customHeight="1">
      <x:c r="A32" s="32" t="str">
        <x:v>Tower Hamlets council paper</x:v>
      </x:c>
      <x:c r="B32" s="32" t="str">
        <x:v>Historic One Housing proxy</x:v>
      </x:c>
      <x:c r="C32" s="69" t="str">
        <x:v>https://democracy.towerhamlets.gov.uk/mgConvert2PDF.aspx?ID=192201</x:v>
      </x:c>
    </x:row>
    <x:row r="35">
      <x:c r="A35" s="29" t="str">
        <x:v>Denominator source</x:v>
      </x:c>
      <x:c r="B35" s="29" t="str">
        <x:v>Provider labels</x:v>
      </x:c>
    </x:row>
    <x:row r="36">
      <x:c r="A36" s="32" t="str">
        <x:v>Housing Ombudsman landlord report</x:v>
      </x:c>
      <x:c r="B36" s="34" t="n">
        <x:v>122</x:v>
      </x:c>
    </x:row>
    <x:row r="37">
      <x:c r="A37" s="32" t="str">
        <x:v>Historical stock proxy</x:v>
      </x:c>
      <x:c r="B37" s="34" t="n">
        <x:v>1</x:v>
      </x:c>
    </x:row>
    <x:row r="38">
      <x:c r="A38" s="32" t="str">
        <x:v>RSH 2025 owned-or-managed proxy</x:v>
      </x:c>
      <x:c r="B38" s="34" t="n">
        <x:v>27</x:v>
      </x:c>
    </x:row>
    <x:row r="39">
      <x:c r="A39" s="32" t="str">
        <x:v>RSH 2025 predecessor group proxy</x:v>
      </x:c>
      <x:c r="B39" s="34" t="n">
        <x:v>1</x:v>
      </x:c>
    </x:row>
  </x:sheetData>
  <x:mergeCells>
    <x:mergeCell ref="A1:F1"/>
    <x:mergeCell ref="A2:F2"/>
    <x:mergeCell ref="A17:D17"/>
    <x:mergeCell ref="A26:C26"/>
  </x:mergeCells>
  <x:pageMargins left="0.7" right="0.7" top="0.75" bottom="0.75" header="0.3" footer="0.3"/>
</x:worksheet>
</file>